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Code\ComputerVision\cv-lab-assignments\Travel---Homestay---Camping---Booking---Application\docs\testing\"/>
    </mc:Choice>
  </mc:AlternateContent>
  <bookViews>
    <workbookView xWindow="0" yWindow="0" windowWidth="19368" windowHeight="8496" firstSheet="8" activeTab="13"/>
  </bookViews>
  <sheets>
    <sheet name="Test Case Specification" sheetId="12" r:id="rId1"/>
    <sheet name="Black-box Summary" sheetId="13" r:id="rId2"/>
    <sheet name="White-box Summary" sheetId="14" r:id="rId3"/>
    <sheet name="Coverage" sheetId="15" r:id="rId4"/>
    <sheet name="Defect Log" sheetId="16" r:id="rId5"/>
    <sheet name="Traceability Matrix" sheetId="17" r:id="rId6"/>
    <sheet name="Summary" sheetId="1" r:id="rId7"/>
    <sheet name="Authentication" sheetId="2" r:id="rId8"/>
    <sheet name="Vehicle" sheetId="3" r:id="rId9"/>
    <sheet name="Customer" sheetId="4" r:id="rId10"/>
    <sheet name="Dealer" sheetId="5" r:id="rId11"/>
    <sheet name="Quote" sheetId="6" r:id="rId12"/>
    <sheet name="Reservation" sheetId="7" r:id="rId13"/>
    <sheet name="Sales" sheetId="8" r:id="rId14"/>
    <sheet name="Reporting" sheetId="9" r:id="rId15"/>
    <sheet name="Notification" sheetId="10" r:id="rId16"/>
    <sheet name="Coverage Matrix" sheetId="11" r:id="rId17"/>
  </sheets>
  <calcPr calcId="162913" forceFullCalc="1"/>
</workbook>
</file>

<file path=xl/calcChain.xml><?xml version="1.0" encoding="utf-8"?>
<calcChain xmlns="http://schemas.openxmlformats.org/spreadsheetml/2006/main">
  <c r="B21" i="1" l="1"/>
  <c r="B20" i="1"/>
  <c r="B19" i="1"/>
  <c r="B18" i="1"/>
  <c r="B17" i="1"/>
  <c r="B16" i="1"/>
  <c r="B15" i="1"/>
  <c r="B14" i="1"/>
  <c r="B13" i="1"/>
  <c r="B9" i="1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7" i="1" l="1"/>
</calcChain>
</file>

<file path=xl/sharedStrings.xml><?xml version="1.0" encoding="utf-8"?>
<sst xmlns="http://schemas.openxmlformats.org/spreadsheetml/2006/main" count="4600" uniqueCount="1324">
  <si>
    <t>STT</t>
  </si>
  <si>
    <t>Test Case ID</t>
  </si>
  <si>
    <t>Jira ID</t>
  </si>
  <si>
    <t>Module</t>
  </si>
  <si>
    <t>Service</t>
  </si>
  <si>
    <t>API</t>
  </si>
  <si>
    <t>Method</t>
  </si>
  <si>
    <t>Endpoint</t>
  </si>
  <si>
    <t>Test Type</t>
  </si>
  <si>
    <t>Preconditions</t>
  </si>
  <si>
    <t>Test Data</t>
  </si>
  <si>
    <t>Steps</t>
  </si>
  <si>
    <t>Expected Result</t>
  </si>
  <si>
    <t>Actual Result</t>
  </si>
  <si>
    <t>Status</t>
  </si>
  <si>
    <t>Priority</t>
  </si>
  <si>
    <t>Severity</t>
  </si>
  <si>
    <t>Automation Tool</t>
  </si>
  <si>
    <t>Notes</t>
  </si>
  <si>
    <t>BB-U-001</t>
  </si>
  <si>
    <t>ED-21</t>
  </si>
  <si>
    <t>UserService</t>
  </si>
  <si>
    <t>Login</t>
  </si>
  <si>
    <t>POST</t>
  </si>
  <si>
    <t>/api/auth/login</t>
  </si>
  <si>
    <t>Happy</t>
  </si>
  <si>
    <t>Existing valid user account</t>
  </si>
  <si>
    <t>Valid username and password</t>
  </si>
  <si>
    <t>1. Chuẩn bị precondition/test data. 2. Gửi POST /api/auth/login. 3. Ghi status và response body. 4. Đối chiếu Expected Result.</t>
  </si>
  <si>
    <t>200 OK with token/user payload</t>
  </si>
  <si>
    <t/>
  </si>
  <si>
    <t>NOT RUN</t>
  </si>
  <si>
    <t>Not specified</t>
  </si>
  <si>
    <t>Chưa xác nhận</t>
  </si>
  <si>
    <t>Postman/Newman</t>
  </si>
  <si>
    <t>BLACK_BOX_TEST_CASES.md / BB-U-001; POST /api/auth/login</t>
  </si>
  <si>
    <t>BB-U-002</t>
  </si>
  <si>
    <t>Login validation</t>
  </si>
  <si>
    <t>Unhappy</t>
  </si>
  <si>
    <t>None</t>
  </si>
  <si>
    <t>Missing password or invalid password</t>
  </si>
  <si>
    <t>400 Bad Request</t>
  </si>
  <si>
    <t>BLACK_BOX_TEST_CASES.md / BB-U-002; POST /api/auth/login</t>
  </si>
  <si>
    <t>BB-U-003</t>
  </si>
  <si>
    <t>Get current user or user detail</t>
  </si>
  <si>
    <t>GET</t>
  </si>
  <si>
    <t>/api/users/{id}</t>
  </si>
  <si>
    <t>Equivalent Partitioning</t>
  </si>
  <si>
    <t>Valid JWT token</t>
  </si>
  <si>
    <t>id = valid existing id / non-existing id / unauthorized user</t>
  </si>
  <si>
    <t>1. Chuẩn bị precondition/test data. 2. Gửi GET /api/users/{id}. 3. Ghi status và response body. 4. Đối chiếu Expected Result.</t>
  </si>
  <si>
    <t>200 OK for allowed access, 404/403 for missing or forbidden access</t>
  </si>
  <si>
    <t>BLACK_BOX_TEST_CASES.md / BB-U-003; GET /api/users/{id}</t>
  </si>
  <si>
    <t>BB-U-004</t>
  </si>
  <si>
    <t>Update user profile</t>
  </si>
  <si>
    <t>PUT</t>
  </si>
  <si>
    <t>BVA</t>
  </si>
  <si>
    <t>Valid JWT token, editable user exists</t>
  </si>
  <si>
    <t>Empty email, valid email, overlong name, boundary-length payloads</t>
  </si>
  <si>
    <t>1. Chuẩn bị precondition/test data. 2. Gửi PUT /api/users/{id}. 3. Ghi status và response body. 4. Đối chiếu Expected Result.</t>
  </si>
  <si>
    <t>Validation error for invalid data; 200 OK or success payload for valid boundary values</t>
  </si>
  <si>
    <t>BLACK_BOX_TEST_CASES.md / BB-U-004; PUT /api/users/{id}</t>
  </si>
  <si>
    <t>BB-U-005</t>
  </si>
  <si>
    <t>Create approved admin user</t>
  </si>
  <si>
    <t>/api/admin/users</t>
  </si>
  <si>
    <t>Admin JWT token</t>
  </si>
  <si>
    <t>Valid registration body</t>
  </si>
  <si>
    <t>1. Chuẩn bị precondition/test data. 2. Gửi POST /api/admin/users. 3. Ghi status và response body. 4. Đối chiếu Expected Result.</t>
  </si>
  <si>
    <t>201 Created</t>
  </si>
  <si>
    <t>BLACK_BOX_TEST_CASES.md / BB-U-005; POST /api/admin/users</t>
  </si>
  <si>
    <t>BB-U-006</t>
  </si>
  <si>
    <t>Register new user</t>
  </si>
  <si>
    <t>/api/auth/register</t>
  </si>
  <si>
    <t>{"username":"sales01","email":"sales01@example.com","fullName":"Sales User","password":"P@ssw0rd!","role":"Sales","dealerId":1}</t>
  </si>
  <si>
    <t>1. Chuẩn bị precondition/test data. 2. Gửi POST /api/auth/register. 3. Ghi status và response body. 4. Đối chiếu Expected Result.</t>
  </si>
  <si>
    <t>201 Created with created user payload</t>
  </si>
  <si>
    <t>BLACK_BOX_TEST_CASES.md / BB-U-006; POST /api/auth/register</t>
  </si>
  <si>
    <t>BB-U-007</t>
  </si>
  <si>
    <t>Register validation</t>
  </si>
  <si>
    <t>email=valid@example.com / email=abc / email=abc@ / email=@mail.com / email=""; password=P@ssw0rd! / password=""; username=sales02</t>
  </si>
  <si>
    <t>Valid email/password accepted; invalid email or empty password rejected with 400 Bad Request</t>
  </si>
  <si>
    <t>BLACK_BOX_TEST_CASES.md / BB-U-007; POST /api/auth/register</t>
  </si>
  <si>
    <t>BB-U-008</t>
  </si>
  <si>
    <t>Reset password</t>
  </si>
  <si>
    <t>/api/auth/reset-password</t>
  </si>
  <si>
    <t>Reset token exists or token can be simulated</t>
  </si>
  <si>
    <t>token="reset-token", newPassword="NewP@ssw0rd!"; invalid boundaries: token="", newPassword="", newPassword length 1, newPassword very long string</t>
  </si>
  <si>
    <t>1. Chuẩn bị precondition/test data. 2. Gửi POST /api/auth/reset-password. 3. Ghi status và response body. 4. Đối chiếu Expected Result.</t>
  </si>
  <si>
    <t>Valid token/password accepted; empty or malformed values rejected with 400 Bad Request</t>
  </si>
  <si>
    <t>BLACK_BOX_TEST_CASES.md / BB-U-008; POST /api/auth/reset-password</t>
  </si>
  <si>
    <t>PM-AUTH-001</t>
  </si>
  <si>
    <t>Forgot Password</t>
  </si>
  <si>
    <t>/api/auth/forgot-password</t>
  </si>
  <si>
    <t>Postman request</t>
  </si>
  <si>
    <t>Postman environment and referenced service URL variables are configured.</t>
  </si>
  <si>
    <t>{
  "email": "admin@example.com"
}</t>
  </si>
  <si>
    <t>1. Chuẩn bị precondition/test data. 2. Gửi POST /api/auth/forgot-password. 3. Ghi status và response body. 4. Đối chiếu Expected Result.</t>
  </si>
  <si>
    <t>Status code is acceptable for the request type; response time is under 2000 ms; Content-Type exists for non-204 responses; JSON responses parse successfully.</t>
  </si>
  <si>
    <t>ev-dealer-management.postman_collection.json / Auth &amp; Users / Forgot Password</t>
  </si>
  <si>
    <t>PM-AUTH-002</t>
  </si>
  <si>
    <t>Get Me</t>
  </si>
  <si>
    <t>/api/users/me</t>
  </si>
  <si>
    <t>Postman environment is configured and authToken is available.</t>
  </si>
  <si>
    <t>URL variables used by request: {{baseUrl}}/api/users/me</t>
  </si>
  <si>
    <t>1. Chuẩn bị precondition/test data. 2. Gửi GET /api/users/me. 3. Ghi status và response body. 4. Đối chiếu Expected Result.</t>
  </si>
  <si>
    <t>ev-dealer-management.postman_collection.json / Auth &amp; Users / Get Me</t>
  </si>
  <si>
    <t>PM-AUTH-003</t>
  </si>
  <si>
    <t>List Users</t>
  </si>
  <si>
    <t>/api/users</t>
  </si>
  <si>
    <t>URL variables used by request: {{baseUrl}}/api/users</t>
  </si>
  <si>
    <t>1. Chuẩn bị precondition/test data. 2. Gửi GET /api/users. 3. Ghi status và response body. 4. Đối chiếu Expected Result.</t>
  </si>
  <si>
    <t>ev-dealer-management.postman_collection.json / Auth &amp; Users / List Users</t>
  </si>
  <si>
    <t>PM-AUTH-004</t>
  </si>
  <si>
    <t>Delete User</t>
  </si>
  <si>
    <t>DELETE</t>
  </si>
  <si>
    <t>/api/users/{{userId}}</t>
  </si>
  <si>
    <t>URL variables used by request: {{baseUrl}}/api/users/{{userId}}</t>
  </si>
  <si>
    <t>1. Chuẩn bị precondition/test data. 2. Gửi DELETE /api/users/{{userId}}. 3. Ghi status và response body. 4. Đối chiếu Expected Result.</t>
  </si>
  <si>
    <t>ev-dealer-management.postman_collection.json / Auth &amp; Users / Delete User</t>
  </si>
  <si>
    <t>PM-AUTH-005</t>
  </si>
  <si>
    <t>Change Role</t>
  </si>
  <si>
    <t>/api/users/{{userId}}/role</t>
  </si>
  <si>
    <t>{
  "role": "Manager"
}</t>
  </si>
  <si>
    <t>1. Chuẩn bị precondition/test data. 2. Gửi PUT /api/users/{{userId}}/role. 3. Ghi status và response body. 4. Đối chiếu Expected Result.</t>
  </si>
  <si>
    <t>ev-dealer-management.postman_collection.json / Auth &amp; Users / Change Role</t>
  </si>
  <si>
    <t>PM-AUTH-006</t>
  </si>
  <si>
    <t>Approve User</t>
  </si>
  <si>
    <t>/api/users/{{userId}}/approve</t>
  </si>
  <si>
    <t>URL variables used by request: {{baseUrl}}/api/users/{{userId}}/approve</t>
  </si>
  <si>
    <t>1. Chuẩn bị precondition/test data. 2. Gửi PUT /api/users/{{userId}}/approve. 3. Ghi status và response body. 4. Đối chiếu Expected Result.</t>
  </si>
  <si>
    <t>ev-dealer-management.postman_collection.json / Auth &amp; Users / Approve User</t>
  </si>
  <si>
    <t>PM-AUTH-007</t>
  </si>
  <si>
    <t>Internal Users</t>
  </si>
  <si>
    <t>/api/internal/users</t>
  </si>
  <si>
    <t>URL variables used by request: {{userServiceUrl}}/api/internal/users</t>
  </si>
  <si>
    <t>1. Chuẩn bị precondition/test data. 2. Gửi GET /api/internal/users. 3. Ghi status và response body. 4. Đối chiếu Expected Result.</t>
  </si>
  <si>
    <t>ev-dealer-management.postman_collection.json / Auth &amp; Users / Internal Users</t>
  </si>
  <si>
    <t>BB-V-001</t>
  </si>
  <si>
    <t>ED-22</t>
  </si>
  <si>
    <t>VehicleService</t>
  </si>
  <si>
    <t>List vehicles with pagination</t>
  </si>
  <si>
    <t>/api/Vehicles</t>
  </si>
  <si>
    <t>At least one vehicle exists</t>
  </si>
  <si>
    <t>Default query or valid pagination query</t>
  </si>
  <si>
    <t>1. Chuẩn bị precondition/test data. 2. Gửi GET /api/Vehicles. 3. Ghi status và response body. 4. Đối chiếu Expected Result.</t>
  </si>
  <si>
    <t>200 OK with paginated payload</t>
  </si>
  <si>
    <t>BLACK_BOX_TEST_CASES.md / BB-V-001; GET /api/Vehicles</t>
  </si>
  <si>
    <t>BB-V-002</t>
  </si>
  <si>
    <t>Search/filter validation</t>
  </si>
  <si>
    <t>Vehicles exist with different prices/types</t>
  </si>
  <si>
    <t>MinPrice, MaxPrice, DealerId, Type, Search</t>
  </si>
  <si>
    <t>Matching filtered results or empty list when no match</t>
  </si>
  <si>
    <t>BLACK_BOX_TEST_CASES.md / BB-V-002; GET /api/Vehicles</t>
  </si>
  <si>
    <t>BB-V-003</t>
  </si>
  <si>
    <t>Create vehicle</t>
  </si>
  <si>
    <t>Valid dealer exists</t>
  </si>
  <si>
    <t>Vehicle payload with valid Model, Type, Price, BatteryCapacity, Range, StockQuantity, DealerId</t>
  </si>
  <si>
    <t>1. Chuẩn bị precondition/test data. 2. Gửi POST /api/Vehicles. 3. Ghi status và response body. 4. Đối chiếu Expected Result.</t>
  </si>
  <si>
    <t>BLACK_BOX_TEST_CASES.md / BB-V-003; POST /api/Vehicles</t>
  </si>
  <si>
    <t>BB-V-004</t>
  </si>
  <si>
    <t>Vehicle creation validation</t>
  </si>
  <si>
    <t>Missing required field or negative numeric value</t>
  </si>
  <si>
    <t>Validation error or 400 Bad Request</t>
  </si>
  <si>
    <t>BLACK_BOX_TEST_CASES.md / BB-V-004; POST /api/Vehicles</t>
  </si>
  <si>
    <t>BB-V-009</t>
  </si>
  <si>
    <t>Dealer exists</t>
  </si>
  <si>
    <t>Valid Model=VinFast VF 8, Type=SUV, Price=1200000000, BatteryCapacity=87.7, Range=420, StockQuantity=5, DealerId=1; invalid partitions: empty model, empty type, negative price, negative range, negative stock</t>
  </si>
  <si>
    <t>Valid payload returns 201 Created; invalid partitions return validation error or 400 Bad Request</t>
  </si>
  <si>
    <t>BLACK_BOX_TEST_CASES.md / BB-V-009; POST /api/Vehicles</t>
  </si>
  <si>
    <t>PM-VEH-001</t>
  </si>
  <si>
    <t>Get Vehicle By Id</t>
  </si>
  <si>
    <t>/api/vehicles/{{vehicleId}}</t>
  </si>
  <si>
    <t>URL variables used by request: {{baseUrl}}/api/vehicles/{{vehicleId}}</t>
  </si>
  <si>
    <t>1. Chuẩn bị precondition/test data. 2. Gửi GET /api/vehicles/{{vehicleId}}. 3. Ghi status và response body. 4. Đối chiếu Expected Result.</t>
  </si>
  <si>
    <t>ev-dealer-management.postman_collection.json / Vehicles &amp; Dealers / Get Vehicle By Id</t>
  </si>
  <si>
    <t>PM-VEH-002</t>
  </si>
  <si>
    <t>Update Vehicle</t>
  </si>
  <si>
    <t>{
  "Model": "VinFast VF 8 Plus",
  "Type": "SUV",
  "Price": 1300000000,
  "BatteryCapacity": 87.7,
  "Range": 450,
  "StockQuantity": 4,
  "Description": "Updated vehicle",
  "DealerId": {{dealerId}}
}</t>
  </si>
  <si>
    <t>1. Chuẩn bị precondition/test data. 2. Gửi PUT /api/vehicles/{{vehicleId}}. 3. Ghi status và response body. 4. Đối chiếu Expected Result.</t>
  </si>
  <si>
    <t>ev-dealer-management.postman_collection.json / Vehicles &amp; Dealers / Update Vehicle</t>
  </si>
  <si>
    <t>PM-VEH-003</t>
  </si>
  <si>
    <t>Delete Vehicle</t>
  </si>
  <si>
    <t>1. Chuẩn bị precondition/test data. 2. Gửi DELETE /api/vehicles/{{vehicleId}}. 3. Ghi status và response body. 4. Đối chiếu Expected Result.</t>
  </si>
  <si>
    <t>ev-dealer-management.postman_collection.json / Vehicles &amp; Dealers / Delete Vehicle</t>
  </si>
  <si>
    <t>PM-VEH-004</t>
  </si>
  <si>
    <t>Vehicle Types</t>
  </si>
  <si>
    <t>/api/vehicletypes</t>
  </si>
  <si>
    <t>URL variables used by request: {{baseUrl}}/api/vehicletypes</t>
  </si>
  <si>
    <t>1. Chuẩn bị precondition/test data. 2. Gửi GET /api/vehicletypes. 3. Ghi status và response body. 4. Đối chiếu Expected Result.</t>
  </si>
  <si>
    <t>ev-dealer-management.postman_collection.json / Vehicles &amp; Dealers / Vehicle Types</t>
  </si>
  <si>
    <t>PM-VEH-005</t>
  </si>
  <si>
    <t>Vehicle Health</t>
  </si>
  <si>
    <t>/api/Health</t>
  </si>
  <si>
    <t>URL variables used by request: {{vehicleServiceUrl}}/api/Health</t>
  </si>
  <si>
    <t>1. Chuẩn bị precondition/test data. 2. Gửi GET /api/Health. 3. Ghi status và response body. 4. Đối chiếu Expected Result.</t>
  </si>
  <si>
    <t>ev-dealer-management.postman_collection.json / Vehicles &amp; Dealers / Vehicle Health</t>
  </si>
  <si>
    <t>PM-VEH-006</t>
  </si>
  <si>
    <t>Export Vehicles CSV</t>
  </si>
  <si>
    <t>/api/vehicles/csv</t>
  </si>
  <si>
    <t>URL variables used by request: {{vehicleServiceUrl}}/api/vehicles/csv</t>
  </si>
  <si>
    <t>1. Chuẩn bị precondition/test data. 2. Gửi GET /api/vehicles/csv. 3. Ghi status và response body. 4. Đối chiếu Expected Result.</t>
  </si>
  <si>
    <t>ev-dealer-management.postman_collection.json / Vehicles &amp; Dealers / Export Vehicles CSV</t>
  </si>
  <si>
    <t>PM-VEH-007</t>
  </si>
  <si>
    <t>Export Vehicles JSON</t>
  </si>
  <si>
    <t>/api/vehicles/json</t>
  </si>
  <si>
    <t>URL variables used by request: {{vehicleServiceUrl}}/api/vehicles/json</t>
  </si>
  <si>
    <t>1. Chuẩn bị precondition/test data. 2. Gửi GET /api/vehicles/json. 3. Ghi status và response body. 4. Đối chiếu Expected Result.</t>
  </si>
  <si>
    <t>ev-dealer-management.postman_collection.json / Vehicles &amp; Dealers / Export Vehicles JSON</t>
  </si>
  <si>
    <t>PM-VEH-008</t>
  </si>
  <si>
    <t>Static Image</t>
  </si>
  <si>
    <t>/images/sample.jpg</t>
  </si>
  <si>
    <t>URL variables used by request: {{baseUrl}}/images/sample.jpg</t>
  </si>
  <si>
    <t>1. Chuẩn bị precondition/test data. 2. Gửi GET /images/sample.jpg. 3. Ghi status và response body. 4. Đối chiếu Expected Result.</t>
  </si>
  <si>
    <t>ev-dealer-management.postman_collection.json / Vehicles &amp; Dealers / Static Image</t>
  </si>
  <si>
    <t>BB-C-001</t>
  </si>
  <si>
    <t>CustomerService</t>
  </si>
  <si>
    <t>Create customer</t>
  </si>
  <si>
    <t>/api/Customers</t>
  </si>
  <si>
    <t>Valid name, email, dealerId, phone</t>
  </si>
  <si>
    <t>1. Chuẩn bị precondition/test data. 2. Gửi POST /api/Customers. 3. Ghi status và response body. 4. Đối chiếu Expected Result.</t>
  </si>
  <si>
    <t>200 OK</t>
  </si>
  <si>
    <t>BLACK_BOX_TEST_CASES.md / BB-C-001; POST /api/Customers</t>
  </si>
  <si>
    <t>BB-C-002</t>
  </si>
  <si>
    <t>Customer validation</t>
  </si>
  <si>
    <t>Missing required name/email/dealerId</t>
  </si>
  <si>
    <t>400 Bad Request or 409 Conflict for duplicate email</t>
  </si>
  <si>
    <t>BLACK_BOX_TEST_CASES.md / BB-C-002; POST /api/Customers</t>
  </si>
  <si>
    <t>BB-C-003</t>
  </si>
  <si>
    <t>Get customer by id</t>
  </si>
  <si>
    <t>/api/Customers/{id}</t>
  </si>
  <si>
    <t>Existing and non-existing customer ids</t>
  </si>
  <si>
    <t>valid id / invalid id / missing id</t>
  </si>
  <si>
    <t>1. Chuẩn bị precondition/test data. 2. Gửi GET /api/Customers/{id}. 3. Ghi status và response body. 4. Đối chiếu Expected Result.</t>
  </si>
  <si>
    <t>200 OK for valid existing id, 404 Not Found otherwise</t>
  </si>
  <si>
    <t>BLACK_BOX_TEST_CASES.md / BB-C-003; GET /api/Customers/{id}</t>
  </si>
  <si>
    <t>BB-C-006</t>
  </si>
  <si>
    <t>Create complaint</t>
  </si>
  <si>
    <t>/api/Complaints</t>
  </si>
  <si>
    <t>Existing customer</t>
  </si>
  <si>
    <t>Valid customer id, type, title, description, optional related ids</t>
  </si>
  <si>
    <t>1. Chuẩn bị precondition/test data. 2. Gửi POST /api/Complaints. 3. Ghi status và response body. 4. Đối chiếu Expected Result.</t>
  </si>
  <si>
    <t>BLACK_BOX_TEST_CASES.md / BB-C-006; POST /api/Complaints</t>
  </si>
  <si>
    <t>BB-C-007</t>
  </si>
  <si>
    <t>Complaint validation</t>
  </si>
  <si>
    <t>Non-existing customer id or missing description</t>
  </si>
  <si>
    <t>BLACK_BOX_TEST_CASES.md / BB-C-007; POST /api/Complaints</t>
  </si>
  <si>
    <t>BB-C-008</t>
  </si>
  <si>
    <t>{"name":"Nguyen Van B","email":"customer@example.com","phone":"+84923456789","address":"Ha Noi","dealerId":1,"status":"active"}</t>
  </si>
  <si>
    <t>BLACK_BOX_TEST_CASES.md / BB-C-008; POST /api/Customers</t>
  </si>
  <si>
    <t>BB-C-009</t>
  </si>
  <si>
    <t>Customer equivalent partitioning</t>
  </si>
  <si>
    <t>name=Nguyen Van B / name=""; email=customer@example.com / email=abc / email=abc@ / email=@mail.com; dealerId=1 / dealerId=0; phone=+84923456789 / phone=abc</t>
  </si>
  <si>
    <t>Valid partition accepted; invalid partitions rejected with 400 Bad Request or 409 Conflict for duplicate email</t>
  </si>
  <si>
    <t>BLACK_BOX_TEST_CASES.md / BB-C-009; POST /api/Customers</t>
  </si>
  <si>
    <t>BB-C-010</t>
  </si>
  <si>
    <t>Update customer</t>
  </si>
  <si>
    <t>Customer exists</t>
  </si>
  <si>
    <t>{"name":"Nguyen Van B Updated","email":"customer.updated@example.com","phone":"+84923456780","address":"Hai Phong","dealerId":1,"status":"active"}</t>
  </si>
  <si>
    <t>1. Chuẩn bị precondition/test data. 2. Gửi PUT /api/Customers/{id}. 3. Ghi status và response body. 4. Đối chiếu Expected Result.</t>
  </si>
  <si>
    <t>204 No Content</t>
  </si>
  <si>
    <t>BLACK_BOX_TEST_CASES.md / BB-C-010; PUT /api/Customers/{id}</t>
  </si>
  <si>
    <t>BB-C-015</t>
  </si>
  <si>
    <t>{"customerId":1,"type":"Bao hanh","title":"Remote not working","description":"Customer reports a broken remote","assignedToStaffID":10,"priority":"High","relatedOrderID":1,"relatedVehicleID":1}</t>
  </si>
  <si>
    <t>BLACK_BOX_TEST_CASES.md / BB-C-015; POST /api/Complaints</t>
  </si>
  <si>
    <t>BB-C-016</t>
  </si>
  <si>
    <t>Update complaint</t>
  </si>
  <si>
    <t>/api/Complaints/{id}</t>
  </si>
  <si>
    <t>Complaint exists</t>
  </si>
  <si>
    <t>Valid status=In Progress; invalid partitions: empty title, overlong title, empty description, type longer than 50 characters</t>
  </si>
  <si>
    <t>1. Chuẩn bị precondition/test data. 2. Gửi PUT /api/Complaints/{id}. 3. Ghi status và response body. 4. Đối chiếu Expected Result.</t>
  </si>
  <si>
    <t>Valid update returns 204 No Content; invalid partitions rejected or result in validation error</t>
  </si>
  <si>
    <t>BLACK_BOX_TEST_CASES.md / BB-C-016; PUT /api/Complaints/{id}</t>
  </si>
  <si>
    <t>PM-CUS-001</t>
  </si>
  <si>
    <t>Get Customers</t>
  </si>
  <si>
    <t>/api/customers</t>
  </si>
  <si>
    <t>URL variables used by request: {{baseUrl}}/api/customers</t>
  </si>
  <si>
    <t>1. Chuẩn bị precondition/test data. 2. Gửi GET /api/customers. 3. Ghi status và response body. 4. Đối chiếu Expected Result.</t>
  </si>
  <si>
    <t>ev-dealer-management.postman_collection.json / Customers &amp; Test Drives / Get Customers</t>
  </si>
  <si>
    <t>PM-CUS-002</t>
  </si>
  <si>
    <t>Delete Customer</t>
  </si>
  <si>
    <t>/api/customers/{{customerId}}</t>
  </si>
  <si>
    <t>URL variables used by request: {{baseUrl}}/api/customers/{{customerId}}</t>
  </si>
  <si>
    <t>1. Chuẩn bị precondition/test data. 2. Gửi DELETE /api/customers/{{customerId}}. 3. Ghi status và response body. 4. Đối chiếu Expected Result.</t>
  </si>
  <si>
    <t>ev-dealer-management.postman_collection.json / Customers &amp; Test Drives / Delete Customer</t>
  </si>
  <si>
    <t>PM-CUS-003</t>
  </si>
  <si>
    <t>Get Complaints</t>
  </si>
  <si>
    <t>URL variables used by request: {{customerServiceUrl}}/api/Complaints</t>
  </si>
  <si>
    <t>1. Chuẩn bị precondition/test data. 2. Gửi GET /api/Complaints. 3. Ghi status và response body. 4. Đối chiếu Expected Result.</t>
  </si>
  <si>
    <t>ev-dealer-management.postman_collection.json / Complaints / Get Complaints</t>
  </si>
  <si>
    <t>PM-CUS-004</t>
  </si>
  <si>
    <t>Get Complaint By Id</t>
  </si>
  <si>
    <t>/api/Complaints/{{complaintId}}</t>
  </si>
  <si>
    <t>URL variables used by request: {{customerServiceUrl}}/api/Complaints/{{complaintId}}</t>
  </si>
  <si>
    <t>1. Chuẩn bị precondition/test data. 2. Gửi GET /api/Complaints/{{complaintId}}. 3. Ghi status và response body. 4. Đối chiếu Expected Result.</t>
  </si>
  <si>
    <t>ev-dealer-management.postman_collection.json / Complaints / Get Complaint By Id</t>
  </si>
  <si>
    <t>PM-CUS-005</t>
  </si>
  <si>
    <t>Delete Complaint</t>
  </si>
  <si>
    <t>1. Chuẩn bị precondition/test data. 2. Gửi DELETE /api/Complaints/{{complaintId}}. 3. Ghi status và response body. 4. Đối chiếu Expected Result.</t>
  </si>
  <si>
    <t>ev-dealer-management.postman_collection.json / Complaints / Delete Complaint</t>
  </si>
  <si>
    <t>BB-V-007</t>
  </si>
  <si>
    <t>Create dealer</t>
  </si>
  <si>
    <t>/api/Dealers</t>
  </si>
  <si>
    <t>Valid dealer payload</t>
  </si>
  <si>
    <t>1. Chuẩn bị precondition/test data. 2. Gửi POST /api/Dealers. 3. Ghi status và response body. 4. Đối chiếu Expected Result.</t>
  </si>
  <si>
    <t>BLACK_BOX_TEST_CASES.md / BB-V-007; POST /api/Dealers</t>
  </si>
  <si>
    <t>BB-V-008</t>
  </si>
  <si>
    <t>Update dealer</t>
  </si>
  <si>
    <t>/api/Dealers/{id}</t>
  </si>
  <si>
    <t>Dealer missing or invalid input</t>
  </si>
  <si>
    <t>Invalid email or overlong fields</t>
  </si>
  <si>
    <t>1. Chuẩn bị precondition/test data. 2. Gửi PUT /api/Dealers/{id}. 3. Ghi status và response body. 4. Đối chiếu Expected Result.</t>
  </si>
  <si>
    <t>Validation failure or 404 Not Found if dealer does not exist</t>
  </si>
  <si>
    <t>BLACK_BOX_TEST_CASES.md / BB-V-008; PUT /api/Dealers/{id}</t>
  </si>
  <si>
    <t>BB-V-012</t>
  </si>
  <si>
    <t>{"name":"VinFast Ha Noi","region":"Ha Noi","contact":"0900000000","email":"dealer@example.com","address":"123 Demo Street"}</t>
  </si>
  <si>
    <t>BLACK_BOX_TEST_CASES.md / BB-V-012; POST /api/Dealers</t>
  </si>
  <si>
    <t>BB-V-013</t>
  </si>
  <si>
    <t>Update dealer validation</t>
  </si>
  <si>
    <t>Valid email=dealer.updated@example.com; invalid partitions: email=abc, email=abc@, email=@mail.com, empty name, overlong contact</t>
  </si>
  <si>
    <t>Valid update returns 200 OK; invalid partitions return validation error or 400 Bad Request</t>
  </si>
  <si>
    <t>BLACK_BOX_TEST_CASES.md / BB-V-013; PUT /api/Dealers/{id}</t>
  </si>
  <si>
    <t>PM-DEA-001</t>
  </si>
  <si>
    <t>List Dealers (UserService)</t>
  </si>
  <si>
    <t>/api/dealers</t>
  </si>
  <si>
    <t>URL variables used by request: {{baseUrl}}/api/dealers</t>
  </si>
  <si>
    <t>1. Chuẩn bị precondition/test data. 2. Gửi GET /api/dealers. 3. Ghi status và response body. 4. Đối chiếu Expected Result.</t>
  </si>
  <si>
    <t>ev-dealer-management.postman_collection.json / Auth &amp; Users / List Dealers (UserService)</t>
  </si>
  <si>
    <t>PM-DEA-002</t>
  </si>
  <si>
    <t>Get Dealer By Id</t>
  </si>
  <si>
    <t>/api/dealers/{{dealerId}}</t>
  </si>
  <si>
    <t>URL variables used by request: {{baseUrl}}/api/dealers/{{dealerId}}</t>
  </si>
  <si>
    <t>1. Chuẩn bị precondition/test data. 2. Gửi GET /api/dealers/{{dealerId}}. 3. Ghi status và response body. 4. Đối chiếu Expected Result.</t>
  </si>
  <si>
    <t>ev-dealer-management.postman_collection.json / Vehicles &amp; Dealers / Get Dealer By Id</t>
  </si>
  <si>
    <t>PM-DEA-003</t>
  </si>
  <si>
    <t>Delete Dealer</t>
  </si>
  <si>
    <t>1. Chuẩn bị precondition/test data. 2. Gửi DELETE /api/dealers/{{dealerId}}. 3. Ghi status và response body. 4. Đối chiếu Expected Result.</t>
  </si>
  <si>
    <t>ev-dealer-management.postman_collection.json / Vehicles &amp; Dealers / Delete Dealer</t>
  </si>
  <si>
    <t>BB-S-001</t>
  </si>
  <si>
    <t>ED-23</t>
  </si>
  <si>
    <t>SalesService</t>
  </si>
  <si>
    <t>List quotes</t>
  </si>
  <si>
    <t>/api/Quotes</t>
  </si>
  <si>
    <t>Quotes exist</t>
  </si>
  <si>
    <t>1. Chuẩn bị precondition/test data. 2. Gửi GET /api/Quotes. 3. Ghi status và response body. 4. Đối chiếu Expected Result.</t>
  </si>
  <si>
    <t>200 OK with collection payload</t>
  </si>
  <si>
    <t>BLACK_BOX_TEST_CASES.md / BB-S-001; GET /api/Quotes</t>
  </si>
  <si>
    <t>BB-S-002</t>
  </si>
  <si>
    <t>Create quote</t>
  </si>
  <si>
    <t>Related customer, dealer, vehicle exist</t>
  </si>
  <si>
    <t>Valid query parameters for CreateQuoteDto</t>
  </si>
  <si>
    <t>1. Chuẩn bị precondition/test data. 2. Gửi POST /api/Quotes. 3. Ghi status và response body. 4. Đối chiếu Expected Result.</t>
  </si>
  <si>
    <t>BLACK_BOX_TEST_CASES.md / BB-S-002; POST /api/Quotes</t>
  </si>
  <si>
    <t>BB-S-003</t>
  </si>
  <si>
    <t>Quote boundary validation</t>
  </si>
  <si>
    <t>Valid related entities exist</t>
  </si>
  <si>
    <t>Quantity = 1, 100, 0, 101</t>
  </si>
  <si>
    <t>Quantity 1 and 100 accepted; 0 and 101 rejected</t>
  </si>
  <si>
    <t>BLACK_BOX_TEST_CASES.md / BB-S-003; POST /api/Quotes</t>
  </si>
  <si>
    <t>BB-S-012</t>
  </si>
  <si>
    <t>Related customer, dealer, and vehicle exist</t>
  </si>
  <si>
    <t>Valid CustomerId=1, DealerId=1, SalespersonId=1, VehicleId=1, ColorId=1, Quantity=1, UnitPrice=1200000000, TotalPrice=1200000000, Status=Active, Notes=Demo quote; invalid partitions: missing customer/dealer id, Status="", Quantity=0, Quantity=101</t>
  </si>
  <si>
    <t>Valid payload returns 201 Created; invalid partitions rejected with validation error</t>
  </si>
  <si>
    <t>BLACK_BOX_TEST_CASES.md / BB-S-012; POST /api/Quotes</t>
  </si>
  <si>
    <t>BB-S-013</t>
  </si>
  <si>
    <t>Update quote status</t>
  </si>
  <si>
    <t>/api/Quotes/{id}/status</t>
  </si>
  <si>
    <t>Quote exists</t>
  </si>
  <si>
    <t>{"status":"ConvertedToOrder"}</t>
  </si>
  <si>
    <t>1. Chuẩn bị precondition/test data. 2. Gửi PUT /api/Quotes/{id}/status. 3. Ghi status và response body. 4. Đối chiếu Expected Result.</t>
  </si>
  <si>
    <t>BLACK_BOX_TEST_CASES.md / BB-S-013; PUT /api/Quotes/{id}/status</t>
  </si>
  <si>
    <t>BB-S-014</t>
  </si>
  <si>
    <t>Quote status validation</t>
  </si>
  <si>
    <t>status=Active, status=Cancelled, status=ConvertedToOrder; invalid: status="", status over 50 chars</t>
  </si>
  <si>
    <t>Valid status accepted; invalid status rejected with validation error or 400 Bad Request</t>
  </si>
  <si>
    <t>BLACK_BOX_TEST_CASES.md / BB-S-014; PUT /api/Quotes/{id}/status</t>
  </si>
  <si>
    <t>PM-QUO-001</t>
  </si>
  <si>
    <t>Get Quote By Id</t>
  </si>
  <si>
    <t>/api/Quotes/{{quoteId}}</t>
  </si>
  <si>
    <t>URL variables used by request: {{salesServiceUrl}}/api/Quotes/{{quoteId}}</t>
  </si>
  <si>
    <t>1. Chuẩn bị precondition/test data. 2. Gửi GET /api/Quotes/{{quoteId}}. 3. Ghi status và response body. 4. Đối chiếu Expected Result.</t>
  </si>
  <si>
    <t>ev-dealer-management.postman_collection.json / Sales Core / Quotes / Get Quote By Id</t>
  </si>
  <si>
    <t>BB-V-005</t>
  </si>
  <si>
    <t>Reserve vehicle</t>
  </si>
  <si>
    <t>/api/Vehicles/{id}/reserve</t>
  </si>
  <si>
    <t>Vehicle exists and stock available</t>
  </si>
  <si>
    <t>Valid reservation body</t>
  </si>
  <si>
    <t>1. Chuẩn bị precondition/test data. 2. Gửi POST /api/Vehicles/{id}/reserve. 3. Ghi status và response body. 4. Đối chiếu Expected Result.</t>
  </si>
  <si>
    <t>200 OK with reservation payload</t>
  </si>
  <si>
    <t>BLACK_BOX_TEST_CASES.md / BB-V-005; POST /api/Vehicles/{id}/reserve</t>
  </si>
  <si>
    <t>BB-V-006</t>
  </si>
  <si>
    <t>Reservation boundary check</t>
  </si>
  <si>
    <t>Vehicle exists</t>
  </si>
  <si>
    <t>Quantity at 1, 100, 0, 101</t>
  </si>
  <si>
    <t>1 and 100 accepted if stock allows; 0 and 101 rejected</t>
  </si>
  <si>
    <t>BLACK_BOX_TEST_CASES.md / BB-V-006; POST /api/Vehicles/{id}/reserve</t>
  </si>
  <si>
    <t>BB-V-010</t>
  </si>
  <si>
    <t>CustomerName=Nguyen Van A, CustomerEmail=customer@example.com, CustomerPhone=+84912345678, ColorVariantId=1, Notes=Reserve for demo, Quantity=1</t>
  </si>
  <si>
    <t>Valid partition returns 200 OK; invalid email/phone/name partitions rejected</t>
  </si>
  <si>
    <t>BLACK_BOX_TEST_CASES.md / BB-V-010; POST /api/Vehicles/{id}/reserve</t>
  </si>
  <si>
    <t>BB-V-011</t>
  </si>
  <si>
    <t>Reserve quantity boundary</t>
  </si>
  <si>
    <t>Quantity=0, Quantity=1, Quantity=100, Quantity=101</t>
  </si>
  <si>
    <t>1 and 100 accepted if stock allows; 0 and 101 rejected with validation or business error</t>
  </si>
  <si>
    <t>BLACK_BOX_TEST_CASES.md / BB-V-011; POST /api/Vehicles/{id}/reserve</t>
  </si>
  <si>
    <t>BB-C-004</t>
  </si>
  <si>
    <t>Create test drive</t>
  </si>
  <si>
    <t>/api/TestDrives</t>
  </si>
  <si>
    <t>Existing customer, vehicle, dealer</t>
  </si>
  <si>
    <t>Valid CustomerId, VehicleId, DealerId, AppointmentDate</t>
  </si>
  <si>
    <t>1. Chuẩn bị precondition/test data. 2. Gửi POST /api/TestDrives. 3. Ghi status và response body. 4. Đối chiếu Expected Result.</t>
  </si>
  <si>
    <t>BLACK_BOX_TEST_CASES.md / BB-C-004; POST /api/TestDrives</t>
  </si>
  <si>
    <t>BB-C-005</t>
  </si>
  <si>
    <t>Appointment date boundary</t>
  </si>
  <si>
    <t>Appointment date just before/after expected scheduling boundary</t>
  </si>
  <si>
    <t>Past date handling depends on backend; valid future date accepted, invalid date rejected if validation exists</t>
  </si>
  <si>
    <t>BLACK_BOX_TEST_CASES.md / BB-C-005; POST /api/TestDrives</t>
  </si>
  <si>
    <t>BB-C-011</t>
  </si>
  <si>
    <t>{"customerId":1,"vehicleId":1,"dealerId":1,"appointmentDate":"2026-06-01T09:00:00Z","notes":"Morning slot","status":"Scheduled"}</t>
  </si>
  <si>
    <t>BLACK_BOX_TEST_CASES.md / BB-C-011; POST /api/TestDrives</t>
  </si>
  <si>
    <t>BB-C-012</t>
  </si>
  <si>
    <t>Appointment date equivalence</t>
  </si>
  <si>
    <t>appointmentDate=2026-06-01T09:00:00Z valid future date; invalid partitions: empty date, malformed date, past date 2020-01-01T00:00:00Z</t>
  </si>
  <si>
    <t>Valid date accepted; invalid partitions rejected with 400 Bad Request or business error</t>
  </si>
  <si>
    <t>BLACK_BOX_TEST_CASES.md / BB-C-012; POST /api/TestDrives</t>
  </si>
  <si>
    <t>BB-C-013</t>
  </si>
  <si>
    <t>Update test drive</t>
  </si>
  <si>
    <t>/api/TestDrives/{id}</t>
  </si>
  <si>
    <t>Test drive exists</t>
  </si>
  <si>
    <t>{"appointmentDate":"2026-06-02T10:00:00Z","status":"Completed","notes":"Completed demo"}</t>
  </si>
  <si>
    <t>1. Chuẩn bị precondition/test data. 2. Gửi PUT /api/TestDrives/{id}. 3. Ghi status và response body. 4. Đối chiếu Expected Result.</t>
  </si>
  <si>
    <t>BLACK_BOX_TEST_CASES.md / BB-C-013; PUT /api/TestDrives/{id}</t>
  </si>
  <si>
    <t>BB-C-014</t>
  </si>
  <si>
    <t>Update test drive status boundary</t>
  </si>
  <si>
    <t>status="Scheduled", status="Completed", status="", status longer than 50 characters</t>
  </si>
  <si>
    <t>Valid status accepted; empty or overlong status rejected</t>
  </si>
  <si>
    <t>BLACK_BOX_TEST_CASES.md / BB-C-014; PUT /api/TestDrives/{id}</t>
  </si>
  <si>
    <t>PM-RES-001</t>
  </si>
  <si>
    <t>Get Test Drives</t>
  </si>
  <si>
    <t>URL variables used by request: {{baseUrl}}/api/TestDrives</t>
  </si>
  <si>
    <t>1. Chuẩn bị precondition/test data. 2. Gửi GET /api/TestDrives. 3. Ghi status và response body. 4. Đối chiếu Expected Result.</t>
  </si>
  <si>
    <t>ev-dealer-management.postman_collection.json / Customers &amp; Test Drives / Get Test Drives</t>
  </si>
  <si>
    <t>PM-RES-002</t>
  </si>
  <si>
    <t>Get Test Drives By Customer</t>
  </si>
  <si>
    <t>/api/TestDrives/customer/{{customerId}}</t>
  </si>
  <si>
    <t>URL variables used by request: {{baseUrl}}/api/TestDrives/customer/{{customerId}}</t>
  </si>
  <si>
    <t>1. Chuẩn bị precondition/test data. 2. Gửi GET /api/TestDrives/customer/{{customerId}}. 3. Ghi status và response body. 4. Đối chiếu Expected Result.</t>
  </si>
  <si>
    <t>ev-dealer-management.postman_collection.json / Customers &amp; Test Drives / Get Test Drives By Customer</t>
  </si>
  <si>
    <t>PM-RES-003</t>
  </si>
  <si>
    <t>Get Test Drive By Id</t>
  </si>
  <si>
    <t>/api/TestDrives/{{testDriveId}}</t>
  </si>
  <si>
    <t>URL variables used by request: {{baseUrl}}/api/TestDrives/{{testDriveId}}</t>
  </si>
  <si>
    <t>1. Chuẩn bị precondition/test data. 2. Gửi GET /api/TestDrives/{{testDriveId}}. 3. Ghi status và response body. 4. Đối chiếu Expected Result.</t>
  </si>
  <si>
    <t>ev-dealer-management.postman_collection.json / Customers &amp; Test Drives / Get Test Drive By Id</t>
  </si>
  <si>
    <t>PM-RES-004</t>
  </si>
  <si>
    <t>Delete Test Drive</t>
  </si>
  <si>
    <t>1. Chuẩn bị precondition/test data. 2. Gửi DELETE /api/TestDrives/{{testDriveId}}. 3. Ghi status và response body. 4. Đối chiếu Expected Result.</t>
  </si>
  <si>
    <t>ev-dealer-management.postman_collection.json / Customers &amp; Test Drives / Delete Test Drive</t>
  </si>
  <si>
    <t>PM-RES-005</t>
  </si>
  <si>
    <t>Get Processed Reservations</t>
  </si>
  <si>
    <t>/api/ProcessedReservations</t>
  </si>
  <si>
    <t>URL variables used by request: {{salesServiceUrl}}/api/ProcessedReservations</t>
  </si>
  <si>
    <t>1. Chuẩn bị precondition/test data. 2. Gửi GET /api/ProcessedReservations. 3. Ghi status và response body. 4. Đối chiếu Expected Result.</t>
  </si>
  <si>
    <t>ev-dealer-management.postman_collection.json / Sales Core / Processed Reservations / Get Processed Reservations</t>
  </si>
  <si>
    <t>PM-RES-006</t>
  </si>
  <si>
    <t>Get Processed Reservation By Id</t>
  </si>
  <si>
    <t>/api/ProcessedReservations/{{orderId}}</t>
  </si>
  <si>
    <t>URL variables used by request: {{salesServiceUrl}}/api/ProcessedReservations/{{orderId}}</t>
  </si>
  <si>
    <t>1. Chuẩn bị precondition/test data. 2. Gửi GET /api/ProcessedReservations/{{orderId}}. 3. Ghi status và response body. 4. Đối chiếu Expected Result.</t>
  </si>
  <si>
    <t>ev-dealer-management.postman_collection.json / Sales Core / Processed Reservations / Get Processed Reservation By Id</t>
  </si>
  <si>
    <t>PM-RES-007</t>
  </si>
  <si>
    <t>Create Processed Reservation</t>
  </si>
  <si>
    <t>{
  "reservationId": 1,
  "status": "Processed"
}</t>
  </si>
  <si>
    <t>1. Chuẩn bị precondition/test data. 2. Gửi POST /api/ProcessedReservations. 3. Ghi status và response body. 4. Đối chiếu Expected Result.</t>
  </si>
  <si>
    <t>ev-dealer-management.postman_collection.json / Sales Core / Processed Reservations / Create Processed Reservation</t>
  </si>
  <si>
    <t>PM-RES-008</t>
  </si>
  <si>
    <t>Update Processed Reservation</t>
  </si>
  <si>
    <t>/api/ProcessedReservations/1</t>
  </si>
  <si>
    <t>{
  "id": 1,
  "reservationId": 1,
  "status": "Processed"
}</t>
  </si>
  <si>
    <t>1. Chuẩn bị precondition/test data. 2. Gửi PUT /api/ProcessedReservations/1. 3. Ghi status và response body. 4. Đối chiếu Expected Result.</t>
  </si>
  <si>
    <t>ev-dealer-management.postman_collection.json / Sales Core / Processed Reservations / Update Processed Reservation</t>
  </si>
  <si>
    <t>PM-RES-009</t>
  </si>
  <si>
    <t>Delete Processed Reservation</t>
  </si>
  <si>
    <t>URL variables used by request: {{salesServiceUrl}}/api/ProcessedReservations/1</t>
  </si>
  <si>
    <t>1. Chuẩn bị precondition/test data. 2. Gửi DELETE /api/ProcessedReservations/1. 3. Ghi status và response body. 4. Đối chiếu Expected Result.</t>
  </si>
  <si>
    <t>ev-dealer-management.postman_collection.json / Sales Core / Processed Reservations / Delete Processed Reservation</t>
  </si>
  <si>
    <t>BB-S-004</t>
  </si>
  <si>
    <t>Complete order</t>
  </si>
  <si>
    <t>/api/Orders/complete</t>
  </si>
  <si>
    <t>Valid quote exists, customer and dealer data available</t>
  </si>
  <si>
    <t>Valid CreateOrderRequest</t>
  </si>
  <si>
    <t>1. Chuẩn bị precondition/test data. 2. Gửi POST /api/Orders/complete. 3. Ghi status và response body. 4. Đối chiếu Expected Result.</t>
  </si>
  <si>
    <t>200 OK with success payload and order number</t>
  </si>
  <si>
    <t>BLACK_BOX_TEST_CASES.md / BB-S-004; POST /api/Orders/complete</t>
  </si>
  <si>
    <t>BB-S-005</t>
  </si>
  <si>
    <t>Order validation</t>
  </si>
  <si>
    <t>Missing CustomerEmail or CustomerName, or zero/negative total price scenario</t>
  </si>
  <si>
    <t>BLACK_BOX_TEST_CASES.md / BB-S-005; POST /api/Orders/complete</t>
  </si>
  <si>
    <t>BB-S-006</t>
  </si>
  <si>
    <t>Update order status</t>
  </si>
  <si>
    <t>/api/Orders/{id}/status</t>
  </si>
  <si>
    <t>Existing order exists</t>
  </si>
  <si>
    <t>Valid status values and invalid status string</t>
  </si>
  <si>
    <t>1. Chuẩn bị precondition/test data. 2. Gửi PUT /api/Orders/{id}/status. 3. Ghi status và response body. 4. Đối chiếu Expected Result.</t>
  </si>
  <si>
    <t>Valid status accepted; invalid status handled according to backend logic</t>
  </si>
  <si>
    <t>BLACK_BOX_TEST_CASES.md / BB-S-006; PUT /api/Orders/{id}/status</t>
  </si>
  <si>
    <t>BB-S-007</t>
  </si>
  <si>
    <t>Create contract</t>
  </si>
  <si>
    <t>/api/Contracts</t>
  </si>
  <si>
    <t>Existing order exists and contract not yet created</t>
  </si>
  <si>
    <t>Valid order/customer/salesperson/date payload</t>
  </si>
  <si>
    <t>1. Chuẩn bị precondition/test data. 2. Gửi POST /api/Contracts. 3. Ghi status và response body. 4. Đối chiếu Expected Result.</t>
  </si>
  <si>
    <t>BLACK_BOX_TEST_CASES.md / BB-S-007; POST /api/Contracts</t>
  </si>
  <si>
    <t>BB-S-008</t>
  </si>
  <si>
    <t>Update contract status</t>
  </si>
  <si>
    <t>/api/Contracts/{id}/status</t>
  </si>
  <si>
    <t>Existing or missing contract depending on branch</t>
  </si>
  <si>
    <t>Status Approved, Rejected, or invalid value</t>
  </si>
  <si>
    <t>1. Chuẩn bị precondition/test data. 2. Gửi PUT /api/Contracts/{id}/status. 3. Ghi status và response body. 4. Đối chiếu Expected Result.</t>
  </si>
  <si>
    <t>Approved updates linked order; Rejected removes contract/order; missing contract returns 404</t>
  </si>
  <si>
    <t>BLACK_BOX_TEST_CASES.md / BB-S-008; PUT /api/Contracts/{id}/status</t>
  </si>
  <si>
    <t>BB-S-009</t>
  </si>
  <si>
    <t>Create promotion</t>
  </si>
  <si>
    <t>/api/Promotions</t>
  </si>
  <si>
    <t>Valid promotion payload</t>
  </si>
  <si>
    <t>1. Chuẩn bị precondition/test data. 2. Gửi POST /api/Promotions. 3. Ghi status và response body. 4. Đối chiếu Expected Result.</t>
  </si>
  <si>
    <t>BLACK_BOX_TEST_CASES.md / BB-S-009; POST /api/Promotions</t>
  </si>
  <si>
    <t>BB-S-010</t>
  </si>
  <si>
    <t>Create payment</t>
  </si>
  <si>
    <t>/api/Payments</t>
  </si>
  <si>
    <t>Existing order id</t>
  </si>
  <si>
    <t>Valid order id, amount, payment method, date, status</t>
  </si>
  <si>
    <t>1. Chuẩn bị precondition/test data. 2. Gửi POST /api/Payments. 3. Ghi status và response body. 4. Đối chiếu Expected Result.</t>
  </si>
  <si>
    <t>BLACK_BOX_TEST_CASES.md / BB-S-010; POST /api/Payments</t>
  </si>
  <si>
    <t>BB-S-011</t>
  </si>
  <si>
    <t>Create delivery</t>
  </si>
  <si>
    <t>/api/Deliveries</t>
  </si>
  <si>
    <t>Valid delivery payload</t>
  </si>
  <si>
    <t>1. Chuẩn bị precondition/test data. 2. Gửi POST /api/Deliveries. 3. Ghi status và response body. 4. Đối chiếu Expected Result.</t>
  </si>
  <si>
    <t>BLACK_BOX_TEST_CASES.md / BB-S-011; POST /api/Deliveries</t>
  </si>
  <si>
    <t>BB-S-015</t>
  </si>
  <si>
    <t>Valid quote exists and the referenced customer/dealer/vehicle data is present</t>
  </si>
  <si>
    <t>QuoteId=1, CustomerId=1, CustomerEmail=customer@example.com, CustomerName=Nguyen Van B, DealerId=1, SalespersonId=1, PaymentMethod=Cash, DeliveryDate=2026-06-10T09:00:00Z, EstimatedDeliveryDate=2026-06-15T09:00:00Z, VehicleId=1, VehicleVariantId=1, ColorId=1, Quantity=1, UnitPrice=1200000000, DiscountAmount=0, DiscountPercent=0</t>
  </si>
  <si>
    <t>200 OK with success=true and generated order number</t>
  </si>
  <si>
    <t>BLACK_BOX_TEST_CASES.md / BB-S-015; POST /api/Orders/complete</t>
  </si>
  <si>
    <t>BB-S-016</t>
  </si>
  <si>
    <t>Order completion validation</t>
  </si>
  <si>
    <t>valid CustomerEmail and CustomerName; invalid partitions: empty CustomerEmail, empty CustomerName, QuoteId=0, UnitPrice=0, TotalPrice=0, discount making total negative</t>
  </si>
  <si>
    <t>400 Bad Request for missing name/email or zero/negative total price</t>
  </si>
  <si>
    <t>BLACK_BOX_TEST_CASES.md / BB-S-016; POST /api/Orders/complete</t>
  </si>
  <si>
    <t>BB-S-017</t>
  </si>
  <si>
    <t>Order exists</t>
  </si>
  <si>
    <t>{"status":"ReadyForDelivery"}</t>
  </si>
  <si>
    <t>200 OK with message</t>
  </si>
  <si>
    <t>BLACK_BOX_TEST_CASES.md / BB-S-017; PUT /api/Orders/{id}/status</t>
  </si>
  <si>
    <t>BB-S-018</t>
  </si>
  <si>
    <t>Order status equivalence</t>
  </si>
  <si>
    <t>status=Pending, status=ReadyForDelivery, status=Completed; invalid: status="", status=UnknownValue</t>
  </si>
  <si>
    <t>Allowed statuses processed; invalid status handled per backend logic and should not corrupt order state</t>
  </si>
  <si>
    <t>BLACK_BOX_TEST_CASES.md / BB-S-018; PUT /api/Orders/{id}/status</t>
  </si>
  <si>
    <t>BB-S-019</t>
  </si>
  <si>
    <t>Existing order exists and no contract has been created for it</t>
  </si>
  <si>
    <t>{"orderId":1,"customerId":1,"salespersonId":"1","contractDate":"2026-06-10T09:00:00Z","depositAmountReceived":true,"termsAndConditions":"Demo contract"}</t>
  </si>
  <si>
    <t>BLACK_BOX_TEST_CASES.md / BB-S-019; POST /api/Contracts</t>
  </si>
  <si>
    <t>BB-S-020</t>
  </si>
  <si>
    <t>Contract create validation</t>
  </si>
  <si>
    <t>valid SalespersonId="1"; invalid partitions: SalespersonId="abc", missing OrderId, missing ContractDate, duplicate OrderId</t>
  </si>
  <si>
    <t>Valid payload accepted; invalid salesperson id or missing required data rejected with 400 Bad Request; duplicate order rejected</t>
  </si>
  <si>
    <t>BLACK_BOX_TEST_CASES.md / BB-S-020; POST /api/Contracts</t>
  </si>
  <si>
    <t>BB-S-021</t>
  </si>
  <si>
    <t>Contract exists</t>
  </si>
  <si>
    <t>{"status":"Approved"}</t>
  </si>
  <si>
    <t>200 OK and linked order status updated appropriately</t>
  </si>
  <si>
    <t>BLACK_BOX_TEST_CASES.md / BB-S-021; PUT /api/Contracts/{id}/status</t>
  </si>
  <si>
    <t>BB-S-022</t>
  </si>
  <si>
    <t>Contract status branching</t>
  </si>
  <si>
    <t>Contract exists or is missing</t>
  </si>
  <si>
    <t>{"status":"Rejected"} for rejection branch; invalid status=""; missing contract id</t>
  </si>
  <si>
    <t>Rejected case removes contract/order and returns success message; invalid/missing cases return validation error or 404 Not Found</t>
  </si>
  <si>
    <t>BLACK_BOX_TEST_CASES.md / BB-S-022; PUT /api/Contracts/{id}/status</t>
  </si>
  <si>
    <t>BB-S-023</t>
  </si>
  <si>
    <t>{"orderId":"11111111-1111-1111-1111-111111111111","amount":1200000000,"paymentDate":"2026-06-10T09:00:00Z","paymentMethod":"Cash","status":"Completed","transactionId":"TXN-001","notes":"Demo payment"}</t>
  </si>
  <si>
    <t>BLACK_BOX_TEST_CASES.md / BB-S-023; POST /api/Payments</t>
  </si>
  <si>
    <t>BB-S-024</t>
  </si>
  <si>
    <t>Payment amount boundary</t>
  </si>
  <si>
    <t>Amount=0.01, Amount=10000000000, Amount=0, Amount=-1</t>
  </si>
  <si>
    <t>0.01 and 10000000000 accepted; 0 and negative amount rejected</t>
  </si>
  <si>
    <t>BLACK_BOX_TEST_CASES.md / BB-S-024; POST /api/Payments</t>
  </si>
  <si>
    <t>BB-S-025</t>
  </si>
  <si>
    <t>{"orderId":"11111111-1111-1111-1111-111111111111","estimatedDeliveryDate":"2026-06-15T09:00:00Z","status":"Scheduled","notes":"Demo delivery"}</t>
  </si>
  <si>
    <t>BLACK_BOX_TEST_CASES.md / BB-S-025; POST /api/Deliveries</t>
  </si>
  <si>
    <t>BB-S-026</t>
  </si>
  <si>
    <t>Delivery validation</t>
  </si>
  <si>
    <t>valid TrackingNumber not used in current model; invalid partitions: missing order id, missing estimated delivery date, empty status, status longer than 50 chars</t>
  </si>
  <si>
    <t>Valid payload accepted; invalid partitions rejected with 400 Bad Request</t>
  </si>
  <si>
    <t>BLACK_BOX_TEST_CASES.md / BB-S-026; POST /api/Deliveries</t>
  </si>
  <si>
    <t>BB-S-027</t>
  </si>
  <si>
    <t>{"name":"SUMMER2026","description":"Summer promotion","discountType":"Percent","discountValue":10,"startDate":"2026-06-01T00:00:00Z","endDate":"2026-08-31T23:59:59Z"}</t>
  </si>
  <si>
    <t>BLACK_BOX_TEST_CASES.md / BB-S-027; POST /api/Promotions</t>
  </si>
  <si>
    <t>BB-S-028</t>
  </si>
  <si>
    <t>Promotion discount boundary</t>
  </si>
  <si>
    <t>DiscountValue=0.01, DiscountValue=1000000000, DiscountValue=0, DiscountValue=1000000000.01</t>
  </si>
  <si>
    <t>0.01 and 1000000000 accepted; 0 and over max rejected</t>
  </si>
  <si>
    <t>BLACK_BOX_TEST_CASES.md / BB-S-028; POST /api/Promotions</t>
  </si>
  <si>
    <t>BB-G-001</t>
  </si>
  <si>
    <t>Gateway forwards order completion</t>
  </si>
  <si>
    <t>SalesService and gateway running</t>
  </si>
  <si>
    <t>Valid order completion payload</t>
  </si>
  <si>
    <t>200 OK routed to SalesService</t>
  </si>
  <si>
    <t>BLACK_BOX_TEST_CASES.md / BB-G-001; POST /api/Orders/complete</t>
  </si>
  <si>
    <t>PM-SAL-001</t>
  </si>
  <si>
    <t>Get Orders</t>
  </si>
  <si>
    <t>/api/Orders</t>
  </si>
  <si>
    <t>URL variables used by request: {{baseUrl}}/api/Orders</t>
  </si>
  <si>
    <t>1. Chuẩn bị precondition/test data. 2. Gửi GET /api/Orders. 3. Ghi status và response body. 4. Đối chiếu Expected Result.</t>
  </si>
  <si>
    <t>ev-dealer-management.postman_collection.json / Sales Core / Orders / Get Orders</t>
  </si>
  <si>
    <t>PM-SAL-002</t>
  </si>
  <si>
    <t>Get Order By Id</t>
  </si>
  <si>
    <t>/api/Orders/{{orderId}}</t>
  </si>
  <si>
    <t>URL variables used by request: {{baseUrl}}/api/Orders/{{orderId}}</t>
  </si>
  <si>
    <t>1. Chuẩn bị precondition/test data. 2. Gửi GET /api/Orders/{{orderId}}. 3. Ghi status và response body. 4. Đối chiếu Expected Result.</t>
  </si>
  <si>
    <t>ev-dealer-management.postman_collection.json / Sales Core / Orders / Get Order By Id</t>
  </si>
  <si>
    <t>PM-SAL-003</t>
  </si>
  <si>
    <t>Get Contracts</t>
  </si>
  <si>
    <t>URL variables used by request: {{baseUrl}}/api/Contracts</t>
  </si>
  <si>
    <t>1. Chuẩn bị precondition/test data. 2. Gửi GET /api/Contracts. 3. Ghi status và response body. 4. Đối chiếu Expected Result.</t>
  </si>
  <si>
    <t>ev-dealer-management.postman_collection.json / Sales Core / Contracts / Get Contracts</t>
  </si>
  <si>
    <t>PM-SAL-004</t>
  </si>
  <si>
    <t>Get Contract By Id</t>
  </si>
  <si>
    <t>/api/Contracts/{{contractId}}</t>
  </si>
  <si>
    <t>URL variables used by request: {{baseUrl}}/api/Contracts/{{contractId}}</t>
  </si>
  <si>
    <t>1. Chuẩn bị precondition/test data. 2. Gửi GET /api/Contracts/{{contractId}}. 3. Ghi status và response body. 4. Đối chiếu Expected Result.</t>
  </si>
  <si>
    <t>ev-dealer-management.postman_collection.json / Sales Core / Contracts / Get Contract By Id</t>
  </si>
  <si>
    <t>PM-SAL-005</t>
  </si>
  <si>
    <t>Get Payments</t>
  </si>
  <si>
    <t>URL variables used by request: {{salesServiceUrl}}/api/Payments</t>
  </si>
  <si>
    <t>1. Chuẩn bị precondition/test data. 2. Gửi GET /api/Payments. 3. Ghi status và response body. 4. Đối chiếu Expected Result.</t>
  </si>
  <si>
    <t>ev-dealer-management.postman_collection.json / Sales Core / Payments / Get Payments</t>
  </si>
  <si>
    <t>PM-SAL-006</t>
  </si>
  <si>
    <t>Get Deliveries</t>
  </si>
  <si>
    <t>URL variables used by request: {{salesServiceUrl}}/api/Deliveries</t>
  </si>
  <si>
    <t>1. Chuẩn bị precondition/test data. 2. Gửi GET /api/Deliveries. 3. Ghi status và response body. 4. Đối chiếu Expected Result.</t>
  </si>
  <si>
    <t>ev-dealer-management.postman_collection.json / Sales Core / Deliveries / Get Deliveries</t>
  </si>
  <si>
    <t>PM-SAL-007</t>
  </si>
  <si>
    <t>Get Promotions</t>
  </si>
  <si>
    <t>URL variables used by request: {{salesServiceUrl}}/api/Promotions</t>
  </si>
  <si>
    <t>1. Chuẩn bị precondition/test data. 2. Gửi GET /api/Promotions. 3. Ghi status và response body. 4. Đối chiếu Expected Result.</t>
  </si>
  <si>
    <t>ev-dealer-management.postman_collection.json / Sales Core / Promotions / Get Promotions</t>
  </si>
  <si>
    <t>BB-R-001</t>
  </si>
  <si>
    <t>ReportingService</t>
  </si>
  <si>
    <t>Demand forecast report</t>
  </si>
  <si>
    <t>/api/reports/demand-forecast</t>
  </si>
  <si>
    <t>ReportingService running and data synchronized</t>
  </si>
  <si>
    <t>Valid from and to dates</t>
  </si>
  <si>
    <t>1. Chuẩn bị precondition/test data. 2. Gửi GET /api/reports/demand-forecast. 3. Ghi status và response body. 4. Đối chiếu Expected Result.</t>
  </si>
  <si>
    <t>200 OK with forecast payload</t>
  </si>
  <si>
    <t>BLACK_BOX_TEST_CASES.md / BB-R-001; GET /api/reports/demand-forecast</t>
  </si>
  <si>
    <t>BB-R-002</t>
  </si>
  <si>
    <t>Synchronize reporting data</t>
  </si>
  <si>
    <t>/api/reports/synchronize-data</t>
  </si>
  <si>
    <t>Reporting data source reachable</t>
  </si>
  <si>
    <t>1. Chuẩn bị precondition/test data. 2. Gửi POST /api/reports/synchronize-data. 3. Ghi status và response body. 4. Đối chiếu Expected Result.</t>
  </si>
  <si>
    <t>BLACK_BOX_TEST_CASES.md / BB-R-002; POST /api/reports/synchronize-data</t>
  </si>
  <si>
    <t>BB-R-003</t>
  </si>
  <si>
    <t>Debt summary report</t>
  </si>
  <si>
    <t>/api/reports/debt-summary</t>
  </si>
  <si>
    <t>Data exists</t>
  </si>
  <si>
    <t>dealerId, customerId, status, date range combinations</t>
  </si>
  <si>
    <t>1. Chuẩn bị precondition/test data. 2. Gửi GET /api/reports/debt-summary. 3. Ghi status và response body. 4. Đối chiếu Expected Result.</t>
  </si>
  <si>
    <t>200 OK with filtered results</t>
  </si>
  <si>
    <t>BLACK_BOX_TEST_CASES.md / BB-R-003; GET /api/reports/debt-summary</t>
  </si>
  <si>
    <t>BB-R-004</t>
  </si>
  <si>
    <t>Top vehicles report</t>
  </si>
  <si>
    <t>/api/reports/top-vehicles</t>
  </si>
  <si>
    <t>limit = 1, 10, 0, negative value</t>
  </si>
  <si>
    <t>1. Chuẩn bị precondition/test data. 2. Gửi GET /api/reports/top-vehicles. 3. Ghi status và response body. 4. Đối chiếu Expected Result.</t>
  </si>
  <si>
    <t>Valid positive limits accepted; invalid limits handled per backend logic</t>
  </si>
  <si>
    <t>BLACK_BOX_TEST_CASES.md / BB-R-004; GET /api/reports/top-vehicles</t>
  </si>
  <si>
    <t>BB-R-005</t>
  </si>
  <si>
    <t>Export report</t>
  </si>
  <si>
    <t>/api/reports/export</t>
  </si>
  <si>
    <t>Reporting data exists</t>
  </si>
  <si>
    <t>Valid export payload</t>
  </si>
  <si>
    <t>1. Chuẩn bị precondition/test data. 2. Gửi POST /api/reports/export. 3. Ghi status và response body. 4. Đối chiếu Expected Result.</t>
  </si>
  <si>
    <t>200 OK with export response</t>
  </si>
  <si>
    <t>BLACK_BOX_TEST_CASES.md / BB-R-005; POST /api/reports/export</t>
  </si>
  <si>
    <t>BB-R-006</t>
  </si>
  <si>
    <t>Demand forecast date validation</t>
  </si>
  <si>
    <t>ReportingService running</t>
  </si>
  <si>
    <t>valid from=2026-01-01, to=2026-12-31; invalid partitions: from=abc, to=abc, empty date values</t>
  </si>
  <si>
    <t>Valid date range accepted; invalid dates rejected or handled with validation error</t>
  </si>
  <si>
    <t>BLACK_BOX_TEST_CASES.md / BB-R-006; GET /api/reports/demand-forecast</t>
  </si>
  <si>
    <t>BB-R-007</t>
  </si>
  <si>
    <t>Top vehicles limit boundary</t>
  </si>
  <si>
    <t>limit=1, limit=10, limit=0, limit=-1</t>
  </si>
  <si>
    <t>Positive limits accepted; zero or negative limit rejected or handled as invalid</t>
  </si>
  <si>
    <t>BLACK_BOX_TEST_CASES.md / BB-R-007; GET /api/reports/top-vehicles</t>
  </si>
  <si>
    <t>BB-R-008</t>
  </si>
  <si>
    <t>Export report input equivalence</t>
  </si>
  <si>
    <t>valid body {type:"sales",from:"2026-01-01",to:"2026-12-31"}; invalid partitions: empty type, malformed JSON, from=abc, to=abc</t>
  </si>
  <si>
    <t>Valid export request accepted; invalid payloads rejected or return a clear error response</t>
  </si>
  <si>
    <t>BLACK_BOX_TEST_CASES.md / BB-R-008; POST /api/reports/export</t>
  </si>
  <si>
    <t>BB-R-009</t>
  </si>
  <si>
    <t>Sales summary filter validation</t>
  </si>
  <si>
    <t>/api/reports/sales-summary</t>
  </si>
  <si>
    <t>valid dealerId=1, fromDate=2026-01-01, toDate=2026-12-31; invalid partitions: missing dates, malformed dates, missing dealer id when required by scenario</t>
  </si>
  <si>
    <t>1. Chuẩn bị precondition/test data. 2. Gửi GET /api/reports/sales-summary. 3. Ghi status và response body. 4. Đối chiếu Expected Result.</t>
  </si>
  <si>
    <t>Valid filters accepted; invalid filters rejected or handled gracefully</t>
  </si>
  <si>
    <t>BLACK_BOX_TEST_CASES.md / BB-R-009; GET /api/reports/sales-summary</t>
  </si>
  <si>
    <t>BB-R-010</t>
  </si>
  <si>
    <t>Inventory summary filter validation</t>
  </si>
  <si>
    <t>/api/reports/inventory-summary</t>
  </si>
  <si>
    <t>valid dealerId=1, vehicleId=1; invalid partitions: dealerId=0, vehicleId=0, missing ids</t>
  </si>
  <si>
    <t>1. Chuẩn bị precondition/test data. 2. Gửi GET /api/reports/inventory-summary. 3. Ghi status và response body. 4. Đối chiếu Expected Result.</t>
  </si>
  <si>
    <t>Valid ids accepted; invalid ids rejected or return empty/clear result per backend behavior</t>
  </si>
  <si>
    <t>BLACK_BOX_TEST_CASES.md / BB-R-010; GET /api/reports/inventory-summary</t>
  </si>
  <si>
    <t>BB-G-002</t>
  </si>
  <si>
    <t>Gateway target validation</t>
  </si>
  <si>
    <t>Gateway running</t>
  </si>
  <si>
    <t>Valid report query parameters</t>
  </si>
  <si>
    <t>Route should be unavailable or documented as direct-service only if not proxied</t>
  </si>
  <si>
    <t>BLACK_BOX_TEST_CASES.md / BB-G-002; GET /api/reports/demand-forecast</t>
  </si>
  <si>
    <t>PM-REP-001</t>
  </si>
  <si>
    <t>Debt Report</t>
  </si>
  <si>
    <t>/api/reports/debt-report</t>
  </si>
  <si>
    <t>dealerId={{dealerId}}&amp;from={{reportFrom}}&amp;to={{reportTo}}</t>
  </si>
  <si>
    <t>1. Chuẩn bị precondition/test data. 2. Gửi GET /api/reports/debt-report. 3. Ghi status và response body. 4. Đối chiếu Expected Result.</t>
  </si>
  <si>
    <t>ev-dealer-management.postman_collection.json / Reports / Debt Report</t>
  </si>
  <si>
    <t>PM-REP-002</t>
  </si>
  <si>
    <t>Sales By Dealer</t>
  </si>
  <si>
    <t>/api/reports/sales-by-dealer</t>
  </si>
  <si>
    <t>dealerId={{dealerId}}&amp;period=month</t>
  </si>
  <si>
    <t>1. Chuẩn bị precondition/test data. 2. Gửi GET /api/reports/sales-by-dealer. 3. Ghi status và response body. 4. Đối chiếu Expected Result.</t>
  </si>
  <si>
    <t>ev-dealer-management.postman_collection.json / Reports / Sales By Dealer</t>
  </si>
  <si>
    <t>PM-REP-003</t>
  </si>
  <si>
    <t>Inventory Trends</t>
  </si>
  <si>
    <t>/api/reports/inventory-trends</t>
  </si>
  <si>
    <t>URL variables used by request: {{reportingServiceUrl}}/api/reports/inventory-trends</t>
  </si>
  <si>
    <t>1. Chuẩn bị precondition/test data. 2. Gửi GET /api/reports/inventory-trends. 3. Ghi status và response body. 4. Đối chiếu Expected Result.</t>
  </si>
  <si>
    <t>ev-dealer-management.postman_collection.json / Reports / Inventory Trends</t>
  </si>
  <si>
    <t>PM-REP-004</t>
  </si>
  <si>
    <t>Sales By Staff</t>
  </si>
  <si>
    <t>/api/reports/sales-by-staff</t>
  </si>
  <si>
    <t>from={{reportFrom}}&amp;to={{reportTo}}</t>
  </si>
  <si>
    <t>1. Chuẩn bị precondition/test data. 2. Gửi GET /api/reports/sales-by-staff. 3. Ghi status và response body. 4. Đối chiếu Expected Result.</t>
  </si>
  <si>
    <t>ev-dealer-management.postman_collection.json / Reports / Sales By Staff</t>
  </si>
  <si>
    <t>PM-REP-005</t>
  </si>
  <si>
    <t>Summary</t>
  </si>
  <si>
    <t>/api/reports/summary</t>
  </si>
  <si>
    <t>type=sales&amp;from={{reportFrom}}&amp;to={{reportTo}}</t>
  </si>
  <si>
    <t>1. Chuẩn bị precondition/test data. 2. Gửi GET /api/reports/summary. 3. Ghi status và response body. 4. Đối chiếu Expected Result.</t>
  </si>
  <si>
    <t>ev-dealer-management.postman_collection.json / Reports / Summary</t>
  </si>
  <si>
    <t>PM-REP-006</t>
  </si>
  <si>
    <t>Sales By Region</t>
  </si>
  <si>
    <t>/api/reports/sales-by-region</t>
  </si>
  <si>
    <t>1. Chuẩn bị precondition/test data. 2. Gửi GET /api/reports/sales-by-region. 3. Ghi status và response body. 4. Đối chiếu Expected Result.</t>
  </si>
  <si>
    <t>ev-dealer-management.postman_collection.json / Reports / Sales By Region</t>
  </si>
  <si>
    <t>PM-REP-007</t>
  </si>
  <si>
    <t>Sales Proportion</t>
  </si>
  <si>
    <t>/api/reports/sales-proportion</t>
  </si>
  <si>
    <t>1. Chuẩn bị precondition/test data. 2. Gửi GET /api/reports/sales-proportion. 3. Ghi status và response body. 4. Đối chiếu Expected Result.</t>
  </si>
  <si>
    <t>ev-dealer-management.postman_collection.json / Reports / Sales Proportion</t>
  </si>
  <si>
    <t>PM-NOT-001</t>
  </si>
  <si>
    <t>NotificationService</t>
  </si>
  <si>
    <t>Test FCM</t>
  </si>
  <si>
    <t>/api/notification/test-fcm</t>
  </si>
  <si>
    <t>{
  "deviceToken": "{{deviceToken}}",
  "title": "Test notification",
  "body": "Hello from Postman",
  "data": { "source": "postman" }
}</t>
  </si>
  <si>
    <t>1. Chuẩn bị precondition/test data. 2. Gửi POST /api/notification/test-fcm. 3. Ghi status và response body. 4. Đối chiếu Expected Result.</t>
  </si>
  <si>
    <t>ev-dealer-management.postman_collection.json / Notifications / Test FCM</t>
  </si>
  <si>
    <t>PM-NOT-002</t>
  </si>
  <si>
    <t>Subscribe Topic</t>
  </si>
  <si>
    <t>/api/notification/subscribe-topic</t>
  </si>
  <si>
    <t>{
  "deviceToken": "{{deviceToken}}",
  "topic": "{{topic}}"
}</t>
  </si>
  <si>
    <t>1. Chuẩn bị precondition/test data. 2. Gửi POST /api/notification/subscribe-topic. 3. Ghi status và response body. 4. Đối chiếu Expected Result.</t>
  </si>
  <si>
    <t>ev-dealer-management.postman_collection.json / Notifications / Subscribe Topic</t>
  </si>
  <si>
    <t>PM-NOT-003</t>
  </si>
  <si>
    <t>Unsubscribe Topic</t>
  </si>
  <si>
    <t>/api/notification/unsubscribe-topic</t>
  </si>
  <si>
    <t>1. Chuẩn bị precondition/test data. 2. Gửi POST /api/notification/unsubscribe-topic. 3. Ghi status và response body. 4. Đối chiếu Expected Result.</t>
  </si>
  <si>
    <t>ev-dealer-management.postman_collection.json / Notifications / Unsubscribe Topic</t>
  </si>
  <si>
    <t>PM-NOT-004</t>
  </si>
  <si>
    <t>Send To Topic</t>
  </si>
  <si>
    <t>/api/notification/send-to-topic</t>
  </si>
  <si>
    <t>{
  "topic": "{{topic}}",
  "title": "Broadcast",
  "body": "Hello topic",
  "data": { "source": "postman" }
}</t>
  </si>
  <si>
    <t>1. Chuẩn bị precondition/test data. 2. Gửi POST /api/notification/send-to-topic. 3. Ghi status và response body. 4. Đối chiếu Expected Result.</t>
  </si>
  <si>
    <t>ev-dealer-management.postman_collection.json / Notifications / Send To Topic</t>
  </si>
  <si>
    <t>PM-NOT-005</t>
  </si>
  <si>
    <t>Send Multicast</t>
  </si>
  <si>
    <t>/api/notification/send-multicast</t>
  </si>
  <si>
    <t>{
  "deviceTokens": ["{{deviceToken}}"],
  "title": "Multicast",
  "body": "Hello multiple devices",
  "data": { "source": "postman" }
}</t>
  </si>
  <si>
    <t>1. Chuẩn bị precondition/test data. 2. Gửi POST /api/notification/send-multicast. 3. Ghi status và response body. 4. Đối chiếu Expected Result.</t>
  </si>
  <si>
    <t>ev-dealer-management.postman_collection.json / Notifications / Send Multicast</t>
  </si>
  <si>
    <t>Total Test Cases</t>
  </si>
  <si>
    <t>Passed</t>
  </si>
  <si>
    <t>Failed</t>
  </si>
  <si>
    <t>Blocked</t>
  </si>
  <si>
    <t>Not Run</t>
  </si>
  <si>
    <t>Coverage Notes</t>
  </si>
  <si>
    <t>Authentication, Users, Customers, Test Drives, Complaints; chưa gán PASS khi thiếu Newman evidence.</t>
  </si>
  <si>
    <t>Vehicles, Dealers và reservations; ID/data phụ thuộc cần xác nhận khi chạy.</t>
  </si>
  <si>
    <t>Sales, Reporting, Notifications; collection hiện có 116 requests.</t>
  </si>
  <si>
    <t>Framework</t>
  </si>
  <si>
    <t>Test Class</t>
  </si>
  <si>
    <t>Target Component</t>
  </si>
  <si>
    <t>Total Tests</t>
  </si>
  <si>
    <t>Key Scenarios</t>
  </si>
  <si>
    <t>Mock/Dependency Strategy</t>
  </si>
  <si>
    <t>xUnit</t>
  </si>
  <si>
    <t>UserServiceTests</t>
  </si>
  <si>
    <t>Login valid/invalid, inactive account, duplicate username</t>
  </si>
  <si>
    <t>Moq IEmailService; EF Core InMemory</t>
  </si>
  <si>
    <t>White-box</t>
  </si>
  <si>
    <t>OrderBusinessLogicTests</t>
  </si>
  <si>
    <t>OrderService/SalesService</t>
  </si>
  <si>
    <t>Discount, quote state, unique order number</t>
  </si>
  <si>
    <t>EF Core InMemory; mocked configuration/logger</t>
  </si>
  <si>
    <t>PaymentBusinessLogicTests</t>
  </si>
  <si>
    <t>PaymentService/SalesService</t>
  </si>
  <si>
    <t>Create, amount validation, DTO mapping</t>
  </si>
  <si>
    <t>ReportingServiceTests</t>
  </si>
  <si>
    <t>Empty history, insufficient data, forecast, date range</t>
  </si>
  <si>
    <t>EF Core InMemory</t>
  </si>
  <si>
    <t>NotificationServiceTests</t>
  </si>
  <si>
    <t>Token/topic/multicast happy and failure cases</t>
  </si>
  <si>
    <t>FakeFcmService</t>
  </si>
  <si>
    <t>OrdersControllerTests</t>
  </si>
  <si>
    <t>SalesService Orders</t>
  </si>
  <si>
    <t>Order validation and status branches</t>
  </si>
  <si>
    <t>Moq; EF Core InMemory</t>
  </si>
  <si>
    <t>Existing tests retained</t>
  </si>
  <si>
    <t>ContractsControllerTests</t>
  </si>
  <si>
    <t>SalesService Contracts</t>
  </si>
  <si>
    <t>Create/status/duplicate/not-found branches</t>
  </si>
  <si>
    <t>QuotesControllerTests</t>
  </si>
  <si>
    <t>SalesService Quotes</t>
  </si>
  <si>
    <t>Create validation, success and exception</t>
  </si>
  <si>
    <t>TOTAL</t>
  </si>
  <si>
    <t>Solution</t>
  </si>
  <si>
    <t>37 passed, 0 failed, 0 skipped</t>
  </si>
  <si>
    <t>Mixed Moq/EF Core InMemory/Fake service</t>
  </si>
  <si>
    <t>GitHub Actions PASS; ED-47 merged</t>
  </si>
  <si>
    <t>Metric</t>
  </si>
  <si>
    <t>Value</t>
  </si>
  <si>
    <t>Interpretation</t>
  </si>
  <si>
    <t>Recommendation</t>
  </si>
  <si>
    <t>Line Coverage</t>
  </si>
  <si>
    <t>14.13% — coverage còn thấp so với toàn solution.</t>
  </si>
  <si>
    <t>Ưu tiên business logic chưa được unit test theo module/rủi ro.</t>
  </si>
  <si>
    <t>Branch Coverage</t>
  </si>
  <si>
    <t>6.74% — nhiều decision/failure branch chưa được phủ.</t>
  </si>
  <si>
    <t>Thêm happy và failure case cho validation, status và dependency errors.</t>
  </si>
  <si>
    <t>Statement Coverage</t>
  </si>
  <si>
    <t>Chưa đo</t>
  </si>
  <si>
    <t>Không có số liệu thực tế trong repository.</t>
  </si>
  <si>
    <t>Chỉ bổ sung khi collector/report cung cấp metric đáng tin cậy.</t>
  </si>
  <si>
    <t>Cyclomatic Complexity</t>
  </si>
  <si>
    <t>Chưa chạy công cụ đo complexity.</t>
  </si>
  <si>
    <t>Không tự suy đoán; đo bằng công cụ tĩnh trước khi báo cáo.</t>
  </si>
  <si>
    <t>Defect ID</t>
  </si>
  <si>
    <t>Related Test Case</t>
  </si>
  <si>
    <t>HTTP Status</t>
  </si>
  <si>
    <t>Description</t>
  </si>
  <si>
    <t>Expected</t>
  </si>
  <si>
    <t>Actual</t>
  </si>
  <si>
    <t>Jira</t>
  </si>
  <si>
    <t>DEF-GRP-400</t>
  </si>
  <si>
    <t>Nhóm validation</t>
  </si>
  <si>
    <t>ED-21/ED-22/ED-23</t>
  </si>
  <si>
    <t>Nhiều endpoint</t>
  </si>
  <si>
    <t>Invalid request, binding hoặc test data không hợp lệ.</t>
  </si>
  <si>
    <t>Request hợp lệ được xử lý; request sai có diagnostic rõ.</t>
  </si>
  <si>
    <t>Cần đối chiếu response body từng run.</t>
  </si>
  <si>
    <t>Medium</t>
  </si>
  <si>
    <t>Không kết luận là lỗi test script chỉ từ status.</t>
  </si>
  <si>
    <t>DEF-GRP-401</t>
  </si>
  <si>
    <t>Nhóm Authentication</t>
  </si>
  <si>
    <t>/api/auth và protected APIs</t>
  </si>
  <si>
    <t>Thiếu/sai token.</t>
  </si>
  <si>
    <t>Token hợp lệ được chấp nhận.</t>
  </si>
  <si>
    <t>Chưa xác nhận theo Newman artifact hiện tại.</t>
  </si>
  <si>
    <t>High</t>
  </si>
  <si>
    <t>Không bịa Jira ID.</t>
  </si>
  <si>
    <t>DEF-GRP-403</t>
  </si>
  <si>
    <t>Nhóm Authorization</t>
  </si>
  <si>
    <t>Protected/admin APIs</t>
  </si>
  <si>
    <t>User đã xác thực nhưng thiếu quyền.</t>
  </si>
  <si>
    <t>Role phù hợp được truy cập.</t>
  </si>
  <si>
    <t>Phân biệt 401 và 403.</t>
  </si>
  <si>
    <t>DEF-GRP-404</t>
  </si>
  <si>
    <t>Nhóm route/data</t>
  </si>
  <si>
    <t>ID-based endpoints</t>
  </si>
  <si>
    <t>Route không tồn tại hoặc ID/data phụ thuộc không tồn tại.</t>
  </si>
  <si>
    <t>Route đúng và ID hợp lệ trả kết quả.</t>
  </si>
  <si>
    <t>Cần kiểm tra URL resolve và database.</t>
  </si>
  <si>
    <t>Không gộp lỗi route với missing data.</t>
  </si>
  <si>
    <t>DEF-GRP-405</t>
  </si>
  <si>
    <t>Nhóm method/gateway</t>
  </si>
  <si>
    <t>Cross-module</t>
  </si>
  <si>
    <t>Gateway/proxy routes</t>
  </si>
  <si>
    <t>HTTP method không được endpoint/proxy hỗ trợ.</t>
  </si>
  <si>
    <t>Method và gateway mapping khớp backend.</t>
  </si>
  <si>
    <t>Cần đối chiếu gateway và controller.</t>
  </si>
  <si>
    <t>Có thể là proxy gap.</t>
  </si>
  <si>
    <t>DEF-GRP-500</t>
  </si>
  <si>
    <t>Nhóm backend exception</t>
  </si>
  <si>
    <t>Backend exception thực tế.</t>
  </si>
  <si>
    <t>Không có unhandled exception.</t>
  </si>
  <si>
    <t>Phải đọc backend log và response body.</t>
  </si>
  <si>
    <t>Critical</t>
  </si>
  <si>
    <t>Collection-level assertion từ chối HTTP 500.</t>
  </si>
  <si>
    <t>Requirement</t>
  </si>
  <si>
    <t>Jira Story</t>
  </si>
  <si>
    <t>Black-box Test</t>
  </si>
  <si>
    <t>White-box Test</t>
  </si>
  <si>
    <t>CI</t>
  </si>
  <si>
    <t>Module A — Authentication, Users, Customers, Test Drives, Complaints</t>
  </si>
  <si>
    <t>UserService; CustomerService</t>
  </si>
  <si>
    <t>BB-U-*; BB-C-*; PM-AUTH-*; PM-CUS-*</t>
  </si>
  <si>
    <t>GitHub Actions PASS</t>
  </si>
  <si>
    <t>Module B — Vehicles, Dealers</t>
  </si>
  <si>
    <t>BB-V-*; PM-VEH-*; PM-DEA-*; PM-RES-*</t>
  </si>
  <si>
    <t>Chưa có class chuyên biệt cho VehicleService</t>
  </si>
  <si>
    <t>Module C — Sales, Reporting, Notifications</t>
  </si>
  <si>
    <t>SalesService; ReportingService; NotificationService</t>
  </si>
  <si>
    <t>BB-S-*; BB-R-*; PM-SAL-*; PM-REP-*; PM-NOT-*</t>
  </si>
  <si>
    <t>OrderBusinessLogicTests; PaymentBusinessLogicTests; ReportingServiceTests; NotificationServiceTests</t>
  </si>
  <si>
    <t>TEST CASE SPECIFICATION — EV Dealer Management</t>
  </si>
  <si>
    <t>Historical Audit Snapshot</t>
  </si>
  <si>
    <t>Documented value</t>
  </si>
  <si>
    <t>Total Backend Endpoints</t>
  </si>
  <si>
    <t>Audit: active backend endpoints</t>
  </si>
  <si>
    <t>Total Postman Requests</t>
  </si>
  <si>
    <t>Audit: Postman requests</t>
  </si>
  <si>
    <t>Unique Postman Endpoints</t>
  </si>
  <si>
    <t>Audit: covered endpoints</t>
  </si>
  <si>
    <t>Audit: missing backend endpoints</t>
  </si>
  <si>
    <t>Covered Unique Postman Endpoints</t>
  </si>
  <si>
    <t>Audit: unmatched Postman requests</t>
  </si>
  <si>
    <t>Postman Endpoint Coverage Rate</t>
  </si>
  <si>
    <t>This section summarizes values extracted from previous audit documents and is provided for traceability only. Current workbook statistics are shown in the Summary table on the left.</t>
  </si>
  <si>
    <t>Sources: ev-dealer-management.postman_collection.json; BACKEND_ENDPOINT_INVENTORY.md; POSTMAN_ENDPOINT_COVERAGE_AUDIT.md; BLACK_BOX_TEST_CASES.md. Actual Result and Status are intentionally blank.</t>
  </si>
  <si>
    <t>Module / Sheet</t>
  </si>
  <si>
    <t>Test Cases</t>
  </si>
  <si>
    <t>Source basis</t>
  </si>
  <si>
    <t>Authentication</t>
  </si>
  <si>
    <t>BLACK_BOX_TEST_CASES.md and/or Postman request</t>
  </si>
  <si>
    <t>Vehicle</t>
  </si>
  <si>
    <t>Customer</t>
  </si>
  <si>
    <t>Dealer</t>
  </si>
  <si>
    <t>Quote</t>
  </si>
  <si>
    <t>Reservation</t>
  </si>
  <si>
    <t>Sales</t>
  </si>
  <si>
    <t>Reporting</t>
  </si>
  <si>
    <t>Notification</t>
  </si>
  <si>
    <t>Coverage represents: 100% of unique Postman endpoints have at least one documented test case.</t>
  </si>
  <si>
    <t>Coverage does not mean: 100% of backend functionality has been tested.</t>
  </si>
  <si>
    <t>Authentication Test Cases</t>
  </si>
  <si>
    <t>TC ID</t>
  </si>
  <si>
    <t>Function</t>
  </si>
  <si>
    <t>HTTP Method</t>
  </si>
  <si>
    <t>Scenario</t>
  </si>
  <si>
    <t>Requirement/Endpoint Reference</t>
  </si>
  <si>
    <t>Happy — Login</t>
  </si>
  <si>
    <t>Unhappy — Login validation</t>
  </si>
  <si>
    <t>Equivalent Partitioning — Get current user or user detail</t>
  </si>
  <si>
    <t>BVA — Update user profile</t>
  </si>
  <si>
    <t>Happy — Create approved admin user</t>
  </si>
  <si>
    <t>Happy — Register new user</t>
  </si>
  <si>
    <t>Equivalent Partitioning — Register validation</t>
  </si>
  <si>
    <t>BVA — Reset password</t>
  </si>
  <si>
    <t>Postman request — Forgot Password</t>
  </si>
  <si>
    <t>Postman request — Get Me</t>
  </si>
  <si>
    <t>Postman request — List Users</t>
  </si>
  <si>
    <t>Postman request — Delete User</t>
  </si>
  <si>
    <t>Postman request — Change Role</t>
  </si>
  <si>
    <t>Postman request — Approve User</t>
  </si>
  <si>
    <t>Postman request — Internal Users</t>
  </si>
  <si>
    <t>Vehicle Test Cases</t>
  </si>
  <si>
    <t>Happy — List vehicles with pagination</t>
  </si>
  <si>
    <t>Equivalent Partitioning — Search/filter validation</t>
  </si>
  <si>
    <t>Happy — Create vehicle</t>
  </si>
  <si>
    <t>Unhappy — Vehicle creation validation</t>
  </si>
  <si>
    <t>Equivalent Partitioning — Create vehicle</t>
  </si>
  <si>
    <t>Postman request — Get Vehicle By Id</t>
  </si>
  <si>
    <t>Postman request — Update Vehicle</t>
  </si>
  <si>
    <t>Postman request — Delete Vehicle</t>
  </si>
  <si>
    <t>Postman request — Vehicle Types</t>
  </si>
  <si>
    <t>Postman request — Vehicle Health</t>
  </si>
  <si>
    <t>Postman request — Export Vehicles CSV</t>
  </si>
  <si>
    <t>Postman request — Export Vehicles JSON</t>
  </si>
  <si>
    <t>Postman request — Static Image</t>
  </si>
  <si>
    <t>Customer Test Cases</t>
  </si>
  <si>
    <t>Happy — Create customer</t>
  </si>
  <si>
    <t>Unhappy — Customer validation</t>
  </si>
  <si>
    <t>Equivalent Partitioning — Get customer by id</t>
  </si>
  <si>
    <t>Happy — Create complaint</t>
  </si>
  <si>
    <t>Unhappy — Complaint validation</t>
  </si>
  <si>
    <t>Equivalent Partitioning — Customer equivalent partitioning</t>
  </si>
  <si>
    <t>Happy — Update customer</t>
  </si>
  <si>
    <t>Equivalent Partitioning — Update complaint</t>
  </si>
  <si>
    <t>Postman request — Get Customers</t>
  </si>
  <si>
    <t>Postman request — Delete Customer</t>
  </si>
  <si>
    <t>Postman request — Get Complaints</t>
  </si>
  <si>
    <t>Postman request — Get Complaint By Id</t>
  </si>
  <si>
    <t>Postman request — Delete Complaint</t>
  </si>
  <si>
    <t>Dealer Test Cases</t>
  </si>
  <si>
    <t>Happy — Create dealer</t>
  </si>
  <si>
    <t>Unhappy — Update dealer</t>
  </si>
  <si>
    <t>Equivalent Partitioning — Update dealer validation</t>
  </si>
  <si>
    <t>Postman request — List Dealers (UserService)</t>
  </si>
  <si>
    <t>Postman request — Get Dealer By Id</t>
  </si>
  <si>
    <t>Postman request — Delete Dealer</t>
  </si>
  <si>
    <t>Quote Test Cases</t>
  </si>
  <si>
    <t>Happy — List quotes</t>
  </si>
  <si>
    <t>Happy — Create quote</t>
  </si>
  <si>
    <t>BVA — Quote boundary validation</t>
  </si>
  <si>
    <t>Equivalent Partitioning — Create quote</t>
  </si>
  <si>
    <t>Happy — Update quote status</t>
  </si>
  <si>
    <t>Equivalent Partitioning — Quote status validation</t>
  </si>
  <si>
    <t>Postman request — Get Quote By Id</t>
  </si>
  <si>
    <t>Reservation Test Cases</t>
  </si>
  <si>
    <t>Happy — Reserve vehicle</t>
  </si>
  <si>
    <t>BVA — Reservation boundary check</t>
  </si>
  <si>
    <t>Equivalent Partitioning — Reserve vehicle</t>
  </si>
  <si>
    <t>BVA — Reserve quantity boundary</t>
  </si>
  <si>
    <t>Happy — Create test drive</t>
  </si>
  <si>
    <t>BVA — Appointment date boundary</t>
  </si>
  <si>
    <t>Equivalent Partitioning — Appointment date equivalence</t>
  </si>
  <si>
    <t>Happy — Update test drive</t>
  </si>
  <si>
    <t>BVA — Update test drive status boundary</t>
  </si>
  <si>
    <t>Postman request — Get Test Drives</t>
  </si>
  <si>
    <t>Postman request — Get Test Drives By Customer</t>
  </si>
  <si>
    <t>Postman request — Get Test Drive By Id</t>
  </si>
  <si>
    <t>Postman request — Delete Test Drive</t>
  </si>
  <si>
    <t>Postman request — Get Processed Reservations</t>
  </si>
  <si>
    <t>Postman request — Get Processed Reservation By Id</t>
  </si>
  <si>
    <t>Postman request — Create Processed Reservation</t>
  </si>
  <si>
    <t>Postman request — Update Processed Reservation</t>
  </si>
  <si>
    <t>Postman request — Delete Processed Reservation</t>
  </si>
  <si>
    <t>Sales Test Cases</t>
  </si>
  <si>
    <t>Happy — Complete order</t>
  </si>
  <si>
    <t>Unhappy — Order validation</t>
  </si>
  <si>
    <t>Equivalent Partitioning — Update order status</t>
  </si>
  <si>
    <t>Happy — Create contract</t>
  </si>
  <si>
    <t>Unhappy — Update contract status</t>
  </si>
  <si>
    <t>Happy — Create promotion</t>
  </si>
  <si>
    <t>Happy — Create payment</t>
  </si>
  <si>
    <t>Happy — Create delivery</t>
  </si>
  <si>
    <t>Equivalent Partitioning — Order completion validation</t>
  </si>
  <si>
    <t>Happy — Update order status</t>
  </si>
  <si>
    <t>Equivalent Partitioning — Order status equivalence</t>
  </si>
  <si>
    <t>Equivalent Partitioning — Contract create validation</t>
  </si>
  <si>
    <t>Happy — Update contract status</t>
  </si>
  <si>
    <t>Unhappy — Contract status branching</t>
  </si>
  <si>
    <t>BVA — Payment amount boundary</t>
  </si>
  <si>
    <t>Equivalent Partitioning — Delivery validation</t>
  </si>
  <si>
    <t>BVA — Promotion discount boundary</t>
  </si>
  <si>
    <t>Happy — Gateway forwards order completion</t>
  </si>
  <si>
    <t>Postman request — Get Orders</t>
  </si>
  <si>
    <t>Postman request — Get Order By Id</t>
  </si>
  <si>
    <t>Postman request — Get Contracts</t>
  </si>
  <si>
    <t>Postman request — Get Contract By Id</t>
  </si>
  <si>
    <t>Postman request — Get Payments</t>
  </si>
  <si>
    <t>Postman request — Get Deliveries</t>
  </si>
  <si>
    <t>Postman request — Get Promotions</t>
  </si>
  <si>
    <t>Reporting Test Cases</t>
  </si>
  <si>
    <t>Happy — Demand forecast report</t>
  </si>
  <si>
    <t>Happy — Synchronize reporting data</t>
  </si>
  <si>
    <t>Equivalent Partitioning — Debt summary report</t>
  </si>
  <si>
    <t>BVA — Top vehicles report</t>
  </si>
  <si>
    <t>Happy — Export report</t>
  </si>
  <si>
    <t>Equivalent Partitioning — Demand forecast date validation</t>
  </si>
  <si>
    <t>BVA — Top vehicles limit boundary</t>
  </si>
  <si>
    <t>Equivalent Partitioning — Export report input equivalence</t>
  </si>
  <si>
    <t>Equivalent Partitioning — Sales summary filter validation</t>
  </si>
  <si>
    <t>Equivalent Partitioning — Inventory summary filter validation</t>
  </si>
  <si>
    <t>Unhappy — Gateway target validation</t>
  </si>
  <si>
    <t>Postman request — Debt Report</t>
  </si>
  <si>
    <t>Postman request — Sales By Dealer</t>
  </si>
  <si>
    <t>Postman request — Inventory Trends</t>
  </si>
  <si>
    <t>Postman request — Sales By Staff</t>
  </si>
  <si>
    <t>Postman request — Summary</t>
  </si>
  <si>
    <t>Postman request — Sales By Region</t>
  </si>
  <si>
    <t>Postman request — Sales Proportion</t>
  </si>
  <si>
    <t>Notification Test Cases</t>
  </si>
  <si>
    <t>Postman request — Test FCM</t>
  </si>
  <si>
    <t>Postman request — Subscribe Topic</t>
  </si>
  <si>
    <t>Postman request — Unsubscribe Topic</t>
  </si>
  <si>
    <t>Postman request — Send To Topic</t>
  </si>
  <si>
    <t>Postman request — Send Multicast</t>
  </si>
  <si>
    <t>Postman Coverage Matrix</t>
  </si>
  <si>
    <t>Postman Request Name</t>
  </si>
  <si>
    <t>Covered (Yes/No)</t>
  </si>
  <si>
    <t>POST /api/auth/login</t>
  </si>
  <si>
    <t>BB-U-001, BB-U-002</t>
  </si>
  <si>
    <t>Auth &amp; Users / Login</t>
  </si>
  <si>
    <t>Yes</t>
  </si>
  <si>
    <t>POST /api/auth/register</t>
  </si>
  <si>
    <t>BB-U-006, BB-U-007</t>
  </si>
  <si>
    <t>Auth &amp; Users / Register</t>
  </si>
  <si>
    <t>POST /api/auth/forgot-password</t>
  </si>
  <si>
    <t>Auth &amp; Users / Forgot Password</t>
  </si>
  <si>
    <t>POST /api/auth/reset-password</t>
  </si>
  <si>
    <t>Auth &amp; Users / Reset Password</t>
  </si>
  <si>
    <t>Auth &amp; Users / Login - Invalid Password</t>
  </si>
  <si>
    <t>Auth &amp; Users / Login - Empty Password</t>
  </si>
  <si>
    <t>Auth &amp; Users / Register - Invalid Email</t>
  </si>
  <si>
    <t>Auth &amp; Users / Register - Empty Email</t>
  </si>
  <si>
    <t>GET /api/users/me</t>
  </si>
  <si>
    <t>Auth &amp; Users / Get Me</t>
  </si>
  <si>
    <t>GET /api/users</t>
  </si>
  <si>
    <t>Auth &amp; Users / List Users</t>
  </si>
  <si>
    <t>POST /api/admin/users</t>
  </si>
  <si>
    <t>Auth &amp; Users / Create Admin User</t>
  </si>
  <si>
    <t>GET /api/users/{{userId}}</t>
  </si>
  <si>
    <t>Auth &amp; Users / Get User By Id</t>
  </si>
  <si>
    <t>PUT /api/users/{{userId}}</t>
  </si>
  <si>
    <t>Auth &amp; Users / Update User</t>
  </si>
  <si>
    <t>DELETE /api/users/{{userId}}</t>
  </si>
  <si>
    <t>Auth &amp; Users / Delete User</t>
  </si>
  <si>
    <t>PUT /api/users/{{userId}}/role</t>
  </si>
  <si>
    <t>Auth &amp; Users / Change Role</t>
  </si>
  <si>
    <t>PUT /api/users/{{userId}}/approve</t>
  </si>
  <si>
    <t>Auth &amp; Users / Approve User</t>
  </si>
  <si>
    <t>GET /api/dealers</t>
  </si>
  <si>
    <t>Auth &amp; Users / List Dealers (UserService)</t>
  </si>
  <si>
    <t>GET /api/internal/users</t>
  </si>
  <si>
    <t>Auth &amp; Users / Internal Users</t>
  </si>
  <si>
    <t>GET /api/vehicles</t>
  </si>
  <si>
    <t>BB-V-001, BB-V-002</t>
  </si>
  <si>
    <t>Vehicles &amp; Dealers / Get Vehicles</t>
  </si>
  <si>
    <t>GET /api/vehicles/{{vehicleId}}</t>
  </si>
  <si>
    <t>Vehicles &amp; Dealers / Get Vehicle By Id</t>
  </si>
  <si>
    <t>POST /api/vehicles</t>
  </si>
  <si>
    <t>BB-V-003, BB-V-004, BB-V-009</t>
  </si>
  <si>
    <t>Vehicles &amp; Dealers / Create Vehicle</t>
  </si>
  <si>
    <t>Vehicles &amp; Dealers / Create Vehicle - Price -1</t>
  </si>
  <si>
    <t>Vehicles &amp; Dealers / Create Vehicle - Price 0</t>
  </si>
  <si>
    <t>Vehicles &amp; Dealers / Create Vehicle - Stock -1</t>
  </si>
  <si>
    <t>Vehicles &amp; Dealers / Create Vehicle - Missing DealerId</t>
  </si>
  <si>
    <t>PUT /api/vehicles/{{vehicleId}}</t>
  </si>
  <si>
    <t>Vehicles &amp; Dealers / Update Vehicle</t>
  </si>
  <si>
    <t>DELETE /api/vehicles/{{vehicleId}}</t>
  </si>
  <si>
    <t>Vehicles &amp; Dealers / Delete Vehicle</t>
  </si>
  <si>
    <t>POST /api/vehicles/{{vehicleId}}/reserve</t>
  </si>
  <si>
    <t>BB-V-005, BB-V-006, BB-V-010, BB-V-011</t>
  </si>
  <si>
    <t>Vehicles &amp; Dealers / Reserve Vehicle</t>
  </si>
  <si>
    <t>Vehicles &amp; Dealers / Reserve Vehicle - Quantity 0</t>
  </si>
  <si>
    <t>Vehicles &amp; Dealers / Reserve Vehicle - Quantity 101</t>
  </si>
  <si>
    <t>Vehicles &amp; Dealers / Reserve Vehicle - Invalid Email</t>
  </si>
  <si>
    <t>Vehicles &amp; Dealers / List Dealers</t>
  </si>
  <si>
    <t>GET /api/dealers/{{dealerId}}</t>
  </si>
  <si>
    <t>Vehicles &amp; Dealers / Get Dealer By Id</t>
  </si>
  <si>
    <t>POST /api/dealers</t>
  </si>
  <si>
    <t>BB-V-007, BB-V-012</t>
  </si>
  <si>
    <t>Vehicles &amp; Dealers / Create Dealer</t>
  </si>
  <si>
    <t>PUT /api/dealers/{{dealerId}}</t>
  </si>
  <si>
    <t>BB-V-008, BB-V-013</t>
  </si>
  <si>
    <t>Vehicles &amp; Dealers / Update Dealer</t>
  </si>
  <si>
    <t>DELETE /api/dealers/{{dealerId}}</t>
  </si>
  <si>
    <t>Vehicles &amp; Dealers / Delete Dealer</t>
  </si>
  <si>
    <t>GET /api/vehicletypes</t>
  </si>
  <si>
    <t>Vehicles &amp; Dealers / Vehicle Types</t>
  </si>
  <si>
    <t>GET /api/Health</t>
  </si>
  <si>
    <t>Vehicles &amp; Dealers / Vehicle Health</t>
  </si>
  <si>
    <t>GET /api/vehicles/csv</t>
  </si>
  <si>
    <t>Vehicles &amp; Dealers / Export Vehicles CSV</t>
  </si>
  <si>
    <t>GET /api/vehicles/json</t>
  </si>
  <si>
    <t>Vehicles &amp; Dealers / Export Vehicles JSON</t>
  </si>
  <si>
    <t>GET /images/sample.jpg</t>
  </si>
  <si>
    <t>Vehicles &amp; Dealers / Static Image</t>
  </si>
  <si>
    <t>GET /api/customers</t>
  </si>
  <si>
    <t>Customers &amp; Test Drives / Get Customers</t>
  </si>
  <si>
    <t>GET /api/customers/{{customerId}}</t>
  </si>
  <si>
    <t>Customers &amp; Test Drives / Get Customer By Id</t>
  </si>
  <si>
    <t>POST /api/customers</t>
  </si>
  <si>
    <t>BB-C-001, BB-C-002, BB-C-008, BB-C-009</t>
  </si>
  <si>
    <t>Customers &amp; Test Drives / Create Customer</t>
  </si>
  <si>
    <t>Customers &amp; Test Drives / Create Customer - Invalid Email</t>
  </si>
  <si>
    <t>Customers &amp; Test Drives / Create Customer - Missing DealerId</t>
  </si>
  <si>
    <t>PUT /api/customers/{{customerId}}</t>
  </si>
  <si>
    <t>Customers &amp; Test Drives / Update Customer</t>
  </si>
  <si>
    <t>DELETE /api/customers/{{customerId}}</t>
  </si>
  <si>
    <t>Customers &amp; Test Drives / Delete Customer</t>
  </si>
  <si>
    <t>GET /api/TestDrives</t>
  </si>
  <si>
    <t>Customers &amp; Test Drives / Get Test Drives</t>
  </si>
  <si>
    <t>GET /api/TestDrives/customer/{{customerId}}</t>
  </si>
  <si>
    <t>Customers &amp; Test Drives / Get Test Drives By Customer</t>
  </si>
  <si>
    <t>GET /api/TestDrives/{{testDriveId}}</t>
  </si>
  <si>
    <t>Customers &amp; Test Drives / Get Test Drive By Id</t>
  </si>
  <si>
    <t>POST /api/TestDrives</t>
  </si>
  <si>
    <t>BB-C-004, BB-C-005, BB-C-011, BB-C-012</t>
  </si>
  <si>
    <t>Customers &amp; Test Drives / Create Test Drive</t>
  </si>
  <si>
    <t>Customers &amp; Test Drives / Create Test Drive - Past Date</t>
  </si>
  <si>
    <t>Customers &amp; Test Drives / Create Test Drive - Empty Appointment Date</t>
  </si>
  <si>
    <t>PUT /api/TestDrives/{{testDriveId}}</t>
  </si>
  <si>
    <t>BB-C-013, BB-C-014</t>
  </si>
  <si>
    <t>Customers &amp; Test Drives / Update Test Drive</t>
  </si>
  <si>
    <t>DELETE /api/TestDrives/{{testDriveId}}</t>
  </si>
  <si>
    <t>Customers &amp; Test Drives / Delete Test Drive</t>
  </si>
  <si>
    <t>GET /api/Complaints</t>
  </si>
  <si>
    <t>Complaints / Get Complaints</t>
  </si>
  <si>
    <t>GET /api/Complaints/{{complaintId}}</t>
  </si>
  <si>
    <t>Complaints / Get Complaint By Id</t>
  </si>
  <si>
    <t>POST /api/Complaints</t>
  </si>
  <si>
    <t>BB-C-006, BB-C-007, BB-C-015</t>
  </si>
  <si>
    <t>Complaints / Create Complaint</t>
  </si>
  <si>
    <t>Complaints / Create Complaint - Missing Description</t>
  </si>
  <si>
    <t>Complaints / Create Complaint - Invalid CustomerId</t>
  </si>
  <si>
    <t>PUT /api/Complaints/{{complaintId}}</t>
  </si>
  <si>
    <t>Complaints / Update Complaint</t>
  </si>
  <si>
    <t>DELETE /api/Complaints/{{complaintId}}</t>
  </si>
  <si>
    <t>Complaints / Delete Complaint</t>
  </si>
  <si>
    <t>GET /api/Quotes</t>
  </si>
  <si>
    <t>Sales Core / Quotes / Get Quotes</t>
  </si>
  <si>
    <t>GET /api/Quotes/{{quoteId}}</t>
  </si>
  <si>
    <t>Sales Core / Quotes / Get Quote By Id</t>
  </si>
  <si>
    <t>POST /api/Quotes</t>
  </si>
  <si>
    <t>BB-S-002, BB-S-003, BB-S-012</t>
  </si>
  <si>
    <t>Sales Core / Quotes / Create Quote</t>
  </si>
  <si>
    <t>Sales Core / Quotes / Create Quote - Quantity 0</t>
  </si>
  <si>
    <t>Sales Core / Quotes / Create Quote - Quantity 101</t>
  </si>
  <si>
    <t>PUT /api/Quotes/{{quoteId}}/status</t>
  </si>
  <si>
    <t>BB-S-013, BB-S-014</t>
  </si>
  <si>
    <t>Sales Core / Quotes / Update Quote Status</t>
  </si>
  <si>
    <t>POST /api/Orders/complete</t>
  </si>
  <si>
    <t>BB-S-004, BB-S-005, BB-S-015, BB-S-016, BB-G-001</t>
  </si>
  <si>
    <t>Sales Core / Orders / Complete Order</t>
  </si>
  <si>
    <t>GET /api/Orders</t>
  </si>
  <si>
    <t>Sales Core / Orders / Get Orders</t>
  </si>
  <si>
    <t>GET /api/Orders/{{orderId}}</t>
  </si>
  <si>
    <t>Sales Core / Orders / Get Order By Id</t>
  </si>
  <si>
    <t>Sales Core / Orders / Complete Order - Missing CustomerName</t>
  </si>
  <si>
    <t>Sales Core / Orders / Complete Order - Invalid Email</t>
  </si>
  <si>
    <t>Sales Core / Orders / Complete Order - TotalAmount 0</t>
  </si>
  <si>
    <t>PUT /api/Orders/{{orderId}}/status</t>
  </si>
  <si>
    <t>BB-S-006, BB-S-017, BB-S-018</t>
  </si>
  <si>
    <t>Sales Core / Orders / Update Order Status</t>
  </si>
  <si>
    <t>GET /api/Contracts</t>
  </si>
  <si>
    <t>Sales Core / Contracts / Get Contracts</t>
  </si>
  <si>
    <t>GET /api/Contracts/{{contractId}}</t>
  </si>
  <si>
    <t>Sales Core / Contracts / Get Contract By Id</t>
  </si>
  <si>
    <t>POST /api/Contracts</t>
  </si>
  <si>
    <t>BB-S-007, BB-S-019, BB-S-020</t>
  </si>
  <si>
    <t>Sales Core / Contracts / Create Contract</t>
  </si>
  <si>
    <t>PUT /api/Contracts/{{contractId}}/status</t>
  </si>
  <si>
    <t>BB-S-008, BB-S-021, BB-S-022</t>
  </si>
  <si>
    <t>Sales Core / Contracts / Update Contract Status</t>
  </si>
  <si>
    <t>GET /api/ProcessedReservations</t>
  </si>
  <si>
    <t>Sales Core / Processed Reservations / Get Processed Reservations</t>
  </si>
  <si>
    <t>GET /api/ProcessedReservations/{{orderId}}</t>
  </si>
  <si>
    <t>Sales Core / Processed Reservations / Get Processed Reservation By Id</t>
  </si>
  <si>
    <t>POST /api/ProcessedReservations</t>
  </si>
  <si>
    <t>Sales Core / Processed Reservations / Create Processed Reservation</t>
  </si>
  <si>
    <t>PUT /api/ProcessedReservations/1</t>
  </si>
  <si>
    <t>Sales Core / Processed Reservations / Update Processed Reservation</t>
  </si>
  <si>
    <t>DELETE /api/ProcessedReservations/1</t>
  </si>
  <si>
    <t>Sales Core / Processed Reservations / Delete Processed Reservation</t>
  </si>
  <si>
    <t>GET /api/Payments</t>
  </si>
  <si>
    <t>Sales Core / Payments / Get Payments</t>
  </si>
  <si>
    <t>POST /api/Payments</t>
  </si>
  <si>
    <t>BB-S-010, BB-S-023, BB-S-024</t>
  </si>
  <si>
    <t>Sales Core / Payments / Create Payment</t>
  </si>
  <si>
    <t>Sales Core / Payments / Create Payment - Amount 0</t>
  </si>
  <si>
    <t>Sales Core / Payments / Create Payment - Amount -1</t>
  </si>
  <si>
    <t>GET /api/Deliveries</t>
  </si>
  <si>
    <t>Sales Core / Deliveries / Get Deliveries</t>
  </si>
  <si>
    <t>POST /api/Deliveries</t>
  </si>
  <si>
    <t>BB-S-011, BB-S-025, BB-S-026</t>
  </si>
  <si>
    <t>Sales Core / Deliveries / Create Delivery</t>
  </si>
  <si>
    <t>Sales Core / Deliveries / Create Delivery - Missing Estimated Date</t>
  </si>
  <si>
    <t>Sales Core / Deliveries / Create Delivery - Empty Status</t>
  </si>
  <si>
    <t>GET /api/Promotions</t>
  </si>
  <si>
    <t>Sales Core / Promotions / Get Promotions</t>
  </si>
  <si>
    <t>POST /api/Promotions</t>
  </si>
  <si>
    <t>BB-S-009, BB-S-027, BB-S-028</t>
  </si>
  <si>
    <t>Sales Core / Promotions / Create Promotion</t>
  </si>
  <si>
    <t>Sales Core / Promotions / Create Promotion - Discount 0</t>
  </si>
  <si>
    <t>Sales Core / Promotions / Create Promotion - Discount -1</t>
  </si>
  <si>
    <t>GET /api/reports/demand-forecast</t>
  </si>
  <si>
    <t>BB-R-001, BB-R-006, BB-G-002</t>
  </si>
  <si>
    <t>Reports / Demand Forecast</t>
  </si>
  <si>
    <t>Reports / Demand Forecast - Invalid From</t>
  </si>
  <si>
    <t>POST /api/reports/synchronize-data</t>
  </si>
  <si>
    <t>Reports / Synchronize Data</t>
  </si>
  <si>
    <t>GET /api/reports/debt-summary</t>
  </si>
  <si>
    <t>Reports / Debt Summary</t>
  </si>
  <si>
    <t>GET /api/reports/debt-report</t>
  </si>
  <si>
    <t>Reports / Debt Report</t>
  </si>
  <si>
    <t>GET /api/reports/sales-by-dealer</t>
  </si>
  <si>
    <t>Reports / Sales By Dealer</t>
  </si>
  <si>
    <t>GET /api/reports/inventory-trends</t>
  </si>
  <si>
    <t>Reports / Inventory Trends</t>
  </si>
  <si>
    <t>GET /api/reports/sales-by-staff</t>
  </si>
  <si>
    <t>Reports / Sales By Staff</t>
  </si>
  <si>
    <t>GET /api/reports/summary</t>
  </si>
  <si>
    <t>Reports / Summary</t>
  </si>
  <si>
    <t>GET /api/reports/sales-by-region</t>
  </si>
  <si>
    <t>Reports / Sales By Region</t>
  </si>
  <si>
    <t>GET /api/reports/sales-proportion</t>
  </si>
  <si>
    <t>Reports / Sales Proportion</t>
  </si>
  <si>
    <t>GET /api/reports/top-vehicles</t>
  </si>
  <si>
    <t>BB-R-004, BB-R-007</t>
  </si>
  <si>
    <t>Reports / Top Vehicles</t>
  </si>
  <si>
    <t>Reports / Top Vehicles - Limit 0</t>
  </si>
  <si>
    <t>Reports / Top Vehicles - Limit -1</t>
  </si>
  <si>
    <t>POST /api/reports/export</t>
  </si>
  <si>
    <t>BB-R-005, BB-R-008</t>
  </si>
  <si>
    <t>Reports / Export Report</t>
  </si>
  <si>
    <t>Reports / Export Report - Invalid Type</t>
  </si>
  <si>
    <t>GET /api/reports/sales-summary</t>
  </si>
  <si>
    <t>Reports / Sales Summary</t>
  </si>
  <si>
    <t>Reports / Sales Summary - Invalid Dates</t>
  </si>
  <si>
    <t>GET /api/reports/inventory-summary</t>
  </si>
  <si>
    <t>Reports / Inventory Summary</t>
  </si>
  <si>
    <t>POST /api/notification/test-fcm</t>
  </si>
  <si>
    <t>Notifications / Test FCM</t>
  </si>
  <si>
    <t>POST /api/notification/subscribe-topic</t>
  </si>
  <si>
    <t>Notifications / Subscribe Topic</t>
  </si>
  <si>
    <t>POST /api/notification/unsubscribe-topic</t>
  </si>
  <si>
    <t>Notifications / Unsubscribe Topic</t>
  </si>
  <si>
    <t>POST /api/notification/send-to-topic</t>
  </si>
  <si>
    <t>Notifications / Send To Topic</t>
  </si>
  <si>
    <t>POST /api/notification/send-multicast</t>
  </si>
  <si>
    <t>Notifications / Send Multicast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</si>
</sst>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5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1"/>
      <color rgb="FF17365D"/>
      <name val="Carlito"/>
    </font>
    <font>
      <i/>
      <sz val="11"/>
      <color rgb="FF1F4E78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rgb="FFD9EAF7"/>
      </patternFill>
    </fill>
  </fills>
  <borders count="20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/>
      <top style="thin">
        <color rgb="FF9EADBA"/>
      </top>
      <bottom/>
      <diagonal/>
    </border>
    <border>
      <left/>
      <right/>
      <top style="thin">
        <color rgb="FF9CC2E5"/>
      </top>
      <bottom/>
      <diagonal/>
    </border>
    <border>
      <left/>
      <right style="thin">
        <color rgb="FF9CC2E5"/>
      </right>
      <top style="thin">
        <color rgb="FF9CC2E5"/>
      </top>
      <bottom/>
      <diagonal/>
    </border>
    <border>
      <left style="thin">
        <color rgb="FF9CC2E5"/>
      </left>
      <right/>
      <top/>
      <bottom style="thin">
        <color rgb="FF9CC2E5"/>
      </bottom>
      <diagonal/>
    </border>
    <border>
      <left/>
      <right/>
      <top/>
      <bottom style="thin">
        <color rgb="FF9CC2E5"/>
      </bottom>
      <diagonal/>
    </border>
    <border>
      <left/>
      <right style="thin">
        <color rgb="FF9CC2E5"/>
      </right>
      <top/>
      <bottom style="thin">
        <color rgb="FF9CC2E5"/>
      </bottom>
      <diagonal/>
    </border>
    <border>
      <left style="thin">
        <color rgb="FF9CC2E5"/>
      </left>
      <right style="thin">
        <color rgb="FF9CC2E5"/>
      </right>
      <top style="thin">
        <color rgb="FF9CC2E5"/>
      </top>
      <bottom/>
      <diagonal/>
    </border>
    <border>
      <left style="thin">
        <color rgb="FF9CC2E5"/>
      </left>
      <right style="thin">
        <color rgb="FF9CC2E5"/>
      </right>
      <top/>
      <bottom style="thin">
        <color rgb="FF9CC2E5"/>
      </bottom>
      <diagonal/>
    </border>
    <border>
      <left/>
      <right style="thin">
        <color rgb="FF9CC2E5"/>
      </right>
      <top/>
      <bottom/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9CC2E5"/>
      </left>
      <right/>
      <top style="thin">
        <color rgb="FF9EADBA"/>
      </top>
      <bottom/>
      <diagonal/>
    </border>
    <border>
      <left/>
      <right style="thin">
        <color rgb="FF9CC2E5"/>
      </right>
      <top style="thin">
        <color rgb="FF9EADBA"/>
      </top>
      <bottom/>
      <diagonal/>
    </border>
    <border>
      <left style="thin">
        <color rgb="FF9CC2E5"/>
      </left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0" fontId="0" fillId="0" borderId="6" xfId="0" applyBorder="1" applyAlignment="1">
      <alignment horizontal="center" vertical="top" wrapText="1"/>
    </xf>
    <xf numFmtId="0" fontId="2" fillId="3" borderId="16" xfId="0" applyFont="1" applyFill="1" applyBorder="1" applyAlignment="1">
      <alignment vertical="center" wrapText="1"/>
    </xf>
    <xf numFmtId="0" fontId="3" fillId="4" borderId="17" xfId="0" applyFont="1" applyFill="1" applyBorder="1" applyAlignment="1">
      <alignment vertical="top" wrapText="1"/>
    </xf>
    <xf numFmtId="0" fontId="3" fillId="4" borderId="7" xfId="0" applyFont="1" applyFill="1" applyBorder="1" applyAlignment="1">
      <alignment vertical="top" wrapText="1"/>
    </xf>
    <xf numFmtId="0" fontId="3" fillId="4" borderId="18" xfId="0" applyFont="1" applyFill="1" applyBorder="1" applyAlignment="1">
      <alignment vertical="top" wrapText="1"/>
    </xf>
    <xf numFmtId="0" fontId="3" fillId="4" borderId="19" xfId="0" applyFont="1" applyFill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3" fillId="4" borderId="15" xfId="0" applyFont="1" applyFill="1" applyBorder="1" applyAlignment="1">
      <alignment vertical="top" wrapText="1"/>
    </xf>
    <xf numFmtId="0" fontId="3" fillId="4" borderId="10" xfId="0" applyFont="1" applyFill="1" applyBorder="1" applyAlignment="1">
      <alignment vertical="top" wrapText="1"/>
    </xf>
    <xf numFmtId="0" fontId="3" fillId="4" borderId="11" xfId="0" applyFont="1" applyFill="1" applyBorder="1" applyAlignment="1">
      <alignment vertical="top" wrapText="1"/>
    </xf>
    <xf numFmtId="0" fontId="3" fillId="4" borderId="12" xfId="0" applyFont="1" applyFill="1" applyBorder="1" applyAlignment="1">
      <alignment vertical="top" wrapText="1"/>
    </xf>
    <xf numFmtId="0" fontId="2" fillId="3" borderId="16" xfId="0" applyFont="1" applyFill="1" applyBorder="1" applyAlignment="1">
      <alignment horizontal="left" vertical="center" wrapText="1"/>
    </xf>
    <xf numFmtId="0" fontId="0" fillId="0" borderId="16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6" xfId="0" applyBorder="1" applyAlignment="1">
      <alignment horizontal="right"/>
    </xf>
    <xf numFmtId="0" fontId="0" fillId="0" borderId="0" xfId="0" applyAlignment="1">
      <alignment horizontal="right"/>
    </xf>
    <xf numFmtId="0" fontId="2" fillId="3" borderId="16" xfId="0" applyFont="1" applyFill="1" applyBorder="1" applyAlignment="1">
      <alignment horizontal="right" vertical="center" wrapText="1"/>
    </xf>
    <xf numFmtId="0" fontId="0" fillId="0" borderId="16" xfId="0" applyBorder="1" applyAlignment="1">
      <alignment horizontal="left" vertical="center"/>
    </xf>
    <xf numFmtId="164" fontId="0" fillId="0" borderId="16" xfId="0" applyNumberFormat="1" applyBorder="1" applyAlignment="1">
      <alignment horizontal="right" vertical="center"/>
    </xf>
    <xf numFmtId="0" fontId="0" fillId="0" borderId="16" xfId="0" applyBorder="1" applyAlignment="1">
      <alignment wrapText="1"/>
    </xf>
    <xf numFmtId="0" fontId="2" fillId="3" borderId="16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wrapText="1"/>
    </xf>
    <xf numFmtId="0" fontId="0" fillId="0" borderId="8" xfId="0" applyBorder="1"/>
    <xf numFmtId="0" fontId="0" fillId="0" borderId="9" xfId="0" applyBorder="1"/>
    <xf numFmtId="0" fontId="4" fillId="5" borderId="14" xfId="0" applyFont="1" applyFill="1" applyBorder="1" applyAlignment="1">
      <alignment wrapText="1"/>
    </xf>
    <xf numFmtId="0" fontId="0" fillId="0" borderId="11" xfId="0" applyBorder="1"/>
    <xf numFmtId="0" fontId="0" fillId="0" borderId="12" xfId="0" applyBorder="1"/>
    <xf numFmtId="0" fontId="0" fillId="0" borderId="13" xfId="0" applyBorder="1" applyAlignment="1">
      <alignment vertical="top" wrapText="1"/>
    </xf>
    <xf numFmtId="0" fontId="1" fillId="2" borderId="0" xfId="0" applyFont="1" applyFill="1" applyAlignment="1">
      <alignment vertical="center"/>
    </xf>
    <xf numFmtId="0" fontId="0" fillId="0" borderId="0" xfId="0"/>
  </cellXfs>
  <cellStyles count="1">
    <cellStyle name="Normal" xfId="0" builtinId="0"/>
  </cellStyles>
  <dxfs count="19">
    <dxf>
      <font>
        <b/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AuthenticationCases" displayName="AuthenticationCases" ref="A3:L18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ehicleCases" displayName="VehicleCases" ref="A3:L16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ustomerCases" displayName="CustomerCases" ref="A3:L18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ealerCases" displayName="DealerCases" ref="A3:L10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QuoteCases" displayName="QuoteCases" ref="A3:L10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servationCases" displayName="ReservationCases" ref="A3:L22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alesCases" displayName="SalesCases" ref="A3:L33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ReportingCases" displayName="ReportingCases" ref="A3:L21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NotificationCases" displayName="NotificationCases" ref="A3:L8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PostmanCoverageMatrix" displayName="PostmanCoverageMatrix" ref="A3:E124" totalsRowShown="0">
  <tableColumns count="5">
    <tableColumn id="1" name="Function"/>
    <tableColumn id="2" name="Endpoint"/>
    <tableColumn id="3" name="Test Case ID"/>
    <tableColumn id="4" name="Postman Request Name"/>
    <tableColumn id="5" name="Covered (Yes/No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showGridLines="0" topLeftCell="H1" zoomScale="64" workbookViewId="0">
      <pane ySplit="1" topLeftCell="A110" activePane="bottomLeft" state="frozen"/>
      <selection pane="bottomLeft" activeCell="A2" sqref="A2"/>
    </sheetView>
  </sheetViews>
  <sheetFormatPr defaultRowHeight="13.8"/>
  <cols>
    <col min="1" max="1" width="7" customWidth="1"/>
    <col min="2" max="2" width="18" customWidth="1"/>
    <col min="3" max="4" width="11" customWidth="1"/>
    <col min="5" max="5" width="22" customWidth="1"/>
    <col min="6" max="6" width="28" customWidth="1"/>
    <col min="7" max="7" width="10" customWidth="1"/>
    <col min="8" max="8" width="34" customWidth="1"/>
    <col min="9" max="9" width="20" customWidth="1"/>
    <col min="10" max="10" width="30" customWidth="1"/>
    <col min="11" max="13" width="42" customWidth="1"/>
    <col min="14" max="14" width="30" customWidth="1"/>
    <col min="15" max="15" width="12" customWidth="1"/>
    <col min="16" max="16" width="14" customWidth="1"/>
    <col min="17" max="17" width="16" customWidth="1"/>
    <col min="18" max="18" width="20" customWidth="1"/>
    <col min="19" max="19" width="42" customWidth="1"/>
  </cols>
  <sheetData>
    <row r="1" spans="1:19" ht="30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30" t="s">
        <v>10</v>
      </c>
      <c r="L1" s="30" t="s">
        <v>11</v>
      </c>
      <c r="M1" s="30" t="s">
        <v>12</v>
      </c>
      <c r="N1" s="30" t="s">
        <v>13</v>
      </c>
      <c r="O1" s="30" t="s">
        <v>14</v>
      </c>
      <c r="P1" s="30" t="s">
        <v>15</v>
      </c>
      <c r="Q1" s="30" t="s">
        <v>16</v>
      </c>
      <c r="R1" s="30" t="s">
        <v>17</v>
      </c>
      <c r="S1" s="30" t="s">
        <v>18</v>
      </c>
    </row>
    <row r="2" spans="1:19" ht="42" customHeight="1">
      <c r="A2" s="24">
        <v>1</v>
      </c>
      <c r="B2" s="29" t="s">
        <v>19</v>
      </c>
      <c r="C2" s="29" t="s">
        <v>20</v>
      </c>
      <c r="D2" s="29" t="s">
        <v>20</v>
      </c>
      <c r="E2" s="29" t="s">
        <v>21</v>
      </c>
      <c r="F2" s="29" t="s">
        <v>22</v>
      </c>
      <c r="G2" s="29" t="s">
        <v>23</v>
      </c>
      <c r="H2" s="29" t="s">
        <v>24</v>
      </c>
      <c r="I2" s="29" t="s">
        <v>25</v>
      </c>
      <c r="J2" s="29" t="s">
        <v>26</v>
      </c>
      <c r="K2" s="29" t="s">
        <v>27</v>
      </c>
      <c r="L2" s="29" t="s">
        <v>28</v>
      </c>
      <c r="M2" s="29" t="s">
        <v>29</v>
      </c>
      <c r="N2" s="29" t="s">
        <v>30</v>
      </c>
      <c r="O2" s="29" t="s">
        <v>31</v>
      </c>
      <c r="P2" s="29" t="s">
        <v>32</v>
      </c>
      <c r="Q2" s="29" t="s">
        <v>33</v>
      </c>
      <c r="R2" s="29" t="s">
        <v>34</v>
      </c>
      <c r="S2" s="29" t="s">
        <v>35</v>
      </c>
    </row>
    <row r="3" spans="1:19" ht="42" customHeight="1">
      <c r="A3" s="24">
        <v>2</v>
      </c>
      <c r="B3" s="29" t="s">
        <v>36</v>
      </c>
      <c r="C3" s="29" t="s">
        <v>20</v>
      </c>
      <c r="D3" s="29" t="s">
        <v>20</v>
      </c>
      <c r="E3" s="29" t="s">
        <v>21</v>
      </c>
      <c r="F3" s="29" t="s">
        <v>37</v>
      </c>
      <c r="G3" s="29" t="s">
        <v>23</v>
      </c>
      <c r="H3" s="29" t="s">
        <v>24</v>
      </c>
      <c r="I3" s="29" t="s">
        <v>38</v>
      </c>
      <c r="J3" s="29" t="s">
        <v>39</v>
      </c>
      <c r="K3" s="29" t="s">
        <v>40</v>
      </c>
      <c r="L3" s="29" t="s">
        <v>28</v>
      </c>
      <c r="M3" s="29" t="s">
        <v>41</v>
      </c>
      <c r="N3" s="29" t="s">
        <v>30</v>
      </c>
      <c r="O3" s="29" t="s">
        <v>31</v>
      </c>
      <c r="P3" s="29" t="s">
        <v>32</v>
      </c>
      <c r="Q3" s="29" t="s">
        <v>33</v>
      </c>
      <c r="R3" s="29" t="s">
        <v>34</v>
      </c>
      <c r="S3" s="29" t="s">
        <v>42</v>
      </c>
    </row>
    <row r="4" spans="1:19" ht="42" customHeight="1">
      <c r="A4" s="24">
        <v>3</v>
      </c>
      <c r="B4" s="29" t="s">
        <v>43</v>
      </c>
      <c r="C4" s="29" t="s">
        <v>20</v>
      </c>
      <c r="D4" s="29" t="s">
        <v>20</v>
      </c>
      <c r="E4" s="29" t="s">
        <v>21</v>
      </c>
      <c r="F4" s="29" t="s">
        <v>44</v>
      </c>
      <c r="G4" s="29" t="s">
        <v>45</v>
      </c>
      <c r="H4" s="29" t="s">
        <v>46</v>
      </c>
      <c r="I4" s="29" t="s">
        <v>47</v>
      </c>
      <c r="J4" s="29" t="s">
        <v>48</v>
      </c>
      <c r="K4" s="29" t="s">
        <v>49</v>
      </c>
      <c r="L4" s="29" t="s">
        <v>50</v>
      </c>
      <c r="M4" s="29" t="s">
        <v>51</v>
      </c>
      <c r="N4" s="29" t="s">
        <v>30</v>
      </c>
      <c r="O4" s="29" t="s">
        <v>31</v>
      </c>
      <c r="P4" s="29" t="s">
        <v>32</v>
      </c>
      <c r="Q4" s="29" t="s">
        <v>33</v>
      </c>
      <c r="R4" s="29" t="s">
        <v>34</v>
      </c>
      <c r="S4" s="29" t="s">
        <v>52</v>
      </c>
    </row>
    <row r="5" spans="1:19" ht="42" customHeight="1">
      <c r="A5" s="24">
        <v>4</v>
      </c>
      <c r="B5" s="29" t="s">
        <v>53</v>
      </c>
      <c r="C5" s="29" t="s">
        <v>20</v>
      </c>
      <c r="D5" s="29" t="s">
        <v>20</v>
      </c>
      <c r="E5" s="29" t="s">
        <v>21</v>
      </c>
      <c r="F5" s="29" t="s">
        <v>54</v>
      </c>
      <c r="G5" s="29" t="s">
        <v>55</v>
      </c>
      <c r="H5" s="29" t="s">
        <v>46</v>
      </c>
      <c r="I5" s="29" t="s">
        <v>56</v>
      </c>
      <c r="J5" s="29" t="s">
        <v>57</v>
      </c>
      <c r="K5" s="29" t="s">
        <v>58</v>
      </c>
      <c r="L5" s="29" t="s">
        <v>59</v>
      </c>
      <c r="M5" s="29" t="s">
        <v>60</v>
      </c>
      <c r="N5" s="29" t="s">
        <v>30</v>
      </c>
      <c r="O5" s="29" t="s">
        <v>31</v>
      </c>
      <c r="P5" s="29" t="s">
        <v>32</v>
      </c>
      <c r="Q5" s="29" t="s">
        <v>33</v>
      </c>
      <c r="R5" s="29" t="s">
        <v>34</v>
      </c>
      <c r="S5" s="29" t="s">
        <v>61</v>
      </c>
    </row>
    <row r="6" spans="1:19" ht="42" customHeight="1">
      <c r="A6" s="24">
        <v>5</v>
      </c>
      <c r="B6" s="29" t="s">
        <v>62</v>
      </c>
      <c r="C6" s="29" t="s">
        <v>20</v>
      </c>
      <c r="D6" s="29" t="s">
        <v>20</v>
      </c>
      <c r="E6" s="29" t="s">
        <v>21</v>
      </c>
      <c r="F6" s="29" t="s">
        <v>63</v>
      </c>
      <c r="G6" s="29" t="s">
        <v>23</v>
      </c>
      <c r="H6" s="29" t="s">
        <v>64</v>
      </c>
      <c r="I6" s="29" t="s">
        <v>25</v>
      </c>
      <c r="J6" s="29" t="s">
        <v>65</v>
      </c>
      <c r="K6" s="29" t="s">
        <v>66</v>
      </c>
      <c r="L6" s="29" t="s">
        <v>67</v>
      </c>
      <c r="M6" s="29" t="s">
        <v>68</v>
      </c>
      <c r="N6" s="29" t="s">
        <v>30</v>
      </c>
      <c r="O6" s="29" t="s">
        <v>31</v>
      </c>
      <c r="P6" s="29" t="s">
        <v>32</v>
      </c>
      <c r="Q6" s="29" t="s">
        <v>33</v>
      </c>
      <c r="R6" s="29" t="s">
        <v>34</v>
      </c>
      <c r="S6" s="29" t="s">
        <v>69</v>
      </c>
    </row>
    <row r="7" spans="1:19" ht="42" customHeight="1">
      <c r="A7" s="24">
        <v>6</v>
      </c>
      <c r="B7" s="29" t="s">
        <v>70</v>
      </c>
      <c r="C7" s="29" t="s">
        <v>20</v>
      </c>
      <c r="D7" s="29" t="s">
        <v>20</v>
      </c>
      <c r="E7" s="29" t="s">
        <v>21</v>
      </c>
      <c r="F7" s="29" t="s">
        <v>71</v>
      </c>
      <c r="G7" s="29" t="s">
        <v>23</v>
      </c>
      <c r="H7" s="29" t="s">
        <v>72</v>
      </c>
      <c r="I7" s="29" t="s">
        <v>25</v>
      </c>
      <c r="J7" s="29" t="s">
        <v>39</v>
      </c>
      <c r="K7" s="29" t="s">
        <v>73</v>
      </c>
      <c r="L7" s="29" t="s">
        <v>74</v>
      </c>
      <c r="M7" s="29" t="s">
        <v>75</v>
      </c>
      <c r="N7" s="29" t="s">
        <v>30</v>
      </c>
      <c r="O7" s="29" t="s">
        <v>31</v>
      </c>
      <c r="P7" s="29" t="s">
        <v>32</v>
      </c>
      <c r="Q7" s="29" t="s">
        <v>33</v>
      </c>
      <c r="R7" s="29" t="s">
        <v>34</v>
      </c>
      <c r="S7" s="29" t="s">
        <v>76</v>
      </c>
    </row>
    <row r="8" spans="1:19" ht="42" customHeight="1">
      <c r="A8" s="24">
        <v>7</v>
      </c>
      <c r="B8" s="29" t="s">
        <v>77</v>
      </c>
      <c r="C8" s="29" t="s">
        <v>20</v>
      </c>
      <c r="D8" s="29" t="s">
        <v>20</v>
      </c>
      <c r="E8" s="29" t="s">
        <v>21</v>
      </c>
      <c r="F8" s="29" t="s">
        <v>78</v>
      </c>
      <c r="G8" s="29" t="s">
        <v>23</v>
      </c>
      <c r="H8" s="29" t="s">
        <v>72</v>
      </c>
      <c r="I8" s="29" t="s">
        <v>47</v>
      </c>
      <c r="J8" s="29" t="s">
        <v>39</v>
      </c>
      <c r="K8" s="29" t="s">
        <v>79</v>
      </c>
      <c r="L8" s="29" t="s">
        <v>74</v>
      </c>
      <c r="M8" s="29" t="s">
        <v>80</v>
      </c>
      <c r="N8" s="29" t="s">
        <v>30</v>
      </c>
      <c r="O8" s="29" t="s">
        <v>31</v>
      </c>
      <c r="P8" s="29" t="s">
        <v>32</v>
      </c>
      <c r="Q8" s="29" t="s">
        <v>33</v>
      </c>
      <c r="R8" s="29" t="s">
        <v>34</v>
      </c>
      <c r="S8" s="29" t="s">
        <v>81</v>
      </c>
    </row>
    <row r="9" spans="1:19" ht="42" customHeight="1">
      <c r="A9" s="24">
        <v>8</v>
      </c>
      <c r="B9" s="29" t="s">
        <v>82</v>
      </c>
      <c r="C9" s="29" t="s">
        <v>20</v>
      </c>
      <c r="D9" s="29" t="s">
        <v>20</v>
      </c>
      <c r="E9" s="29" t="s">
        <v>21</v>
      </c>
      <c r="F9" s="29" t="s">
        <v>83</v>
      </c>
      <c r="G9" s="29" t="s">
        <v>23</v>
      </c>
      <c r="H9" s="29" t="s">
        <v>84</v>
      </c>
      <c r="I9" s="29" t="s">
        <v>56</v>
      </c>
      <c r="J9" s="29" t="s">
        <v>85</v>
      </c>
      <c r="K9" s="29" t="s">
        <v>86</v>
      </c>
      <c r="L9" s="29" t="s">
        <v>87</v>
      </c>
      <c r="M9" s="29" t="s">
        <v>88</v>
      </c>
      <c r="N9" s="29" t="s">
        <v>30</v>
      </c>
      <c r="O9" s="29" t="s">
        <v>31</v>
      </c>
      <c r="P9" s="29" t="s">
        <v>32</v>
      </c>
      <c r="Q9" s="29" t="s">
        <v>33</v>
      </c>
      <c r="R9" s="29" t="s">
        <v>34</v>
      </c>
      <c r="S9" s="29" t="s">
        <v>89</v>
      </c>
    </row>
    <row r="10" spans="1:19" ht="42" customHeight="1">
      <c r="A10" s="24">
        <v>9</v>
      </c>
      <c r="B10" s="29" t="s">
        <v>90</v>
      </c>
      <c r="C10" s="29" t="s">
        <v>20</v>
      </c>
      <c r="D10" s="29" t="s">
        <v>20</v>
      </c>
      <c r="E10" s="29" t="s">
        <v>21</v>
      </c>
      <c r="F10" s="29" t="s">
        <v>91</v>
      </c>
      <c r="G10" s="29" t="s">
        <v>23</v>
      </c>
      <c r="H10" s="29" t="s">
        <v>92</v>
      </c>
      <c r="I10" s="29" t="s">
        <v>93</v>
      </c>
      <c r="J10" s="29" t="s">
        <v>94</v>
      </c>
      <c r="K10" s="29" t="s">
        <v>95</v>
      </c>
      <c r="L10" s="29" t="s">
        <v>96</v>
      </c>
      <c r="M10" s="29" t="s">
        <v>97</v>
      </c>
      <c r="N10" s="29" t="s">
        <v>30</v>
      </c>
      <c r="O10" s="29" t="s">
        <v>31</v>
      </c>
      <c r="P10" s="29" t="s">
        <v>32</v>
      </c>
      <c r="Q10" s="29" t="s">
        <v>33</v>
      </c>
      <c r="R10" s="29" t="s">
        <v>34</v>
      </c>
      <c r="S10" s="29" t="s">
        <v>98</v>
      </c>
    </row>
    <row r="11" spans="1:19" ht="42" customHeight="1">
      <c r="A11" s="24">
        <v>10</v>
      </c>
      <c r="B11" s="29" t="s">
        <v>99</v>
      </c>
      <c r="C11" s="29" t="s">
        <v>20</v>
      </c>
      <c r="D11" s="29" t="s">
        <v>20</v>
      </c>
      <c r="E11" s="29" t="s">
        <v>21</v>
      </c>
      <c r="F11" s="29" t="s">
        <v>100</v>
      </c>
      <c r="G11" s="29" t="s">
        <v>45</v>
      </c>
      <c r="H11" s="29" t="s">
        <v>101</v>
      </c>
      <c r="I11" s="29" t="s">
        <v>93</v>
      </c>
      <c r="J11" s="29" t="s">
        <v>102</v>
      </c>
      <c r="K11" s="29" t="s">
        <v>103</v>
      </c>
      <c r="L11" s="29" t="s">
        <v>104</v>
      </c>
      <c r="M11" s="29" t="s">
        <v>97</v>
      </c>
      <c r="N11" s="29" t="s">
        <v>30</v>
      </c>
      <c r="O11" s="29" t="s">
        <v>31</v>
      </c>
      <c r="P11" s="29" t="s">
        <v>32</v>
      </c>
      <c r="Q11" s="29" t="s">
        <v>33</v>
      </c>
      <c r="R11" s="29" t="s">
        <v>34</v>
      </c>
      <c r="S11" s="29" t="s">
        <v>105</v>
      </c>
    </row>
    <row r="12" spans="1:19" ht="42" customHeight="1">
      <c r="A12" s="24">
        <v>11</v>
      </c>
      <c r="B12" s="29" t="s">
        <v>106</v>
      </c>
      <c r="C12" s="29" t="s">
        <v>20</v>
      </c>
      <c r="D12" s="29" t="s">
        <v>20</v>
      </c>
      <c r="E12" s="29" t="s">
        <v>21</v>
      </c>
      <c r="F12" s="29" t="s">
        <v>107</v>
      </c>
      <c r="G12" s="29" t="s">
        <v>45</v>
      </c>
      <c r="H12" s="29" t="s">
        <v>108</v>
      </c>
      <c r="I12" s="29" t="s">
        <v>93</v>
      </c>
      <c r="J12" s="29" t="s">
        <v>102</v>
      </c>
      <c r="K12" s="29" t="s">
        <v>109</v>
      </c>
      <c r="L12" s="29" t="s">
        <v>110</v>
      </c>
      <c r="M12" s="29" t="s">
        <v>97</v>
      </c>
      <c r="N12" s="29" t="s">
        <v>30</v>
      </c>
      <c r="O12" s="29" t="s">
        <v>31</v>
      </c>
      <c r="P12" s="29" t="s">
        <v>32</v>
      </c>
      <c r="Q12" s="29" t="s">
        <v>33</v>
      </c>
      <c r="R12" s="29" t="s">
        <v>34</v>
      </c>
      <c r="S12" s="29" t="s">
        <v>111</v>
      </c>
    </row>
    <row r="13" spans="1:19" ht="42" customHeight="1">
      <c r="A13" s="24">
        <v>12</v>
      </c>
      <c r="B13" s="29" t="s">
        <v>112</v>
      </c>
      <c r="C13" s="29" t="s">
        <v>20</v>
      </c>
      <c r="D13" s="29" t="s">
        <v>20</v>
      </c>
      <c r="E13" s="29" t="s">
        <v>21</v>
      </c>
      <c r="F13" s="29" t="s">
        <v>113</v>
      </c>
      <c r="G13" s="29" t="s">
        <v>114</v>
      </c>
      <c r="H13" s="29" t="s">
        <v>115</v>
      </c>
      <c r="I13" s="29" t="s">
        <v>93</v>
      </c>
      <c r="J13" s="29" t="s">
        <v>102</v>
      </c>
      <c r="K13" s="29" t="s">
        <v>116</v>
      </c>
      <c r="L13" s="29" t="s">
        <v>117</v>
      </c>
      <c r="M13" s="29" t="s">
        <v>97</v>
      </c>
      <c r="N13" s="29" t="s">
        <v>30</v>
      </c>
      <c r="O13" s="29" t="s">
        <v>31</v>
      </c>
      <c r="P13" s="29" t="s">
        <v>32</v>
      </c>
      <c r="Q13" s="29" t="s">
        <v>33</v>
      </c>
      <c r="R13" s="29" t="s">
        <v>34</v>
      </c>
      <c r="S13" s="29" t="s">
        <v>118</v>
      </c>
    </row>
    <row r="14" spans="1:19" ht="42" customHeight="1">
      <c r="A14" s="24">
        <v>13</v>
      </c>
      <c r="B14" s="29" t="s">
        <v>119</v>
      </c>
      <c r="C14" s="29" t="s">
        <v>20</v>
      </c>
      <c r="D14" s="29" t="s">
        <v>20</v>
      </c>
      <c r="E14" s="29" t="s">
        <v>21</v>
      </c>
      <c r="F14" s="29" t="s">
        <v>120</v>
      </c>
      <c r="G14" s="29" t="s">
        <v>55</v>
      </c>
      <c r="H14" s="29" t="s">
        <v>121</v>
      </c>
      <c r="I14" s="29" t="s">
        <v>93</v>
      </c>
      <c r="J14" s="29" t="s">
        <v>102</v>
      </c>
      <c r="K14" s="29" t="s">
        <v>122</v>
      </c>
      <c r="L14" s="29" t="s">
        <v>123</v>
      </c>
      <c r="M14" s="29" t="s">
        <v>97</v>
      </c>
      <c r="N14" s="29" t="s">
        <v>30</v>
      </c>
      <c r="O14" s="29" t="s">
        <v>31</v>
      </c>
      <c r="P14" s="29" t="s">
        <v>32</v>
      </c>
      <c r="Q14" s="29" t="s">
        <v>33</v>
      </c>
      <c r="R14" s="29" t="s">
        <v>34</v>
      </c>
      <c r="S14" s="29" t="s">
        <v>124</v>
      </c>
    </row>
    <row r="15" spans="1:19" ht="42" customHeight="1">
      <c r="A15" s="24">
        <v>14</v>
      </c>
      <c r="B15" s="29" t="s">
        <v>125</v>
      </c>
      <c r="C15" s="29" t="s">
        <v>20</v>
      </c>
      <c r="D15" s="29" t="s">
        <v>20</v>
      </c>
      <c r="E15" s="29" t="s">
        <v>21</v>
      </c>
      <c r="F15" s="29" t="s">
        <v>126</v>
      </c>
      <c r="G15" s="29" t="s">
        <v>55</v>
      </c>
      <c r="H15" s="29" t="s">
        <v>127</v>
      </c>
      <c r="I15" s="29" t="s">
        <v>93</v>
      </c>
      <c r="J15" s="29" t="s">
        <v>102</v>
      </c>
      <c r="K15" s="29" t="s">
        <v>128</v>
      </c>
      <c r="L15" s="29" t="s">
        <v>129</v>
      </c>
      <c r="M15" s="29" t="s">
        <v>97</v>
      </c>
      <c r="N15" s="29" t="s">
        <v>30</v>
      </c>
      <c r="O15" s="29" t="s">
        <v>31</v>
      </c>
      <c r="P15" s="29" t="s">
        <v>32</v>
      </c>
      <c r="Q15" s="29" t="s">
        <v>33</v>
      </c>
      <c r="R15" s="29" t="s">
        <v>34</v>
      </c>
      <c r="S15" s="29" t="s">
        <v>130</v>
      </c>
    </row>
    <row r="16" spans="1:19" ht="42" customHeight="1">
      <c r="A16" s="24">
        <v>15</v>
      </c>
      <c r="B16" s="29" t="s">
        <v>131</v>
      </c>
      <c r="C16" s="29" t="s">
        <v>20</v>
      </c>
      <c r="D16" s="29" t="s">
        <v>20</v>
      </c>
      <c r="E16" s="29" t="s">
        <v>21</v>
      </c>
      <c r="F16" s="29" t="s">
        <v>132</v>
      </c>
      <c r="G16" s="29" t="s">
        <v>45</v>
      </c>
      <c r="H16" s="29" t="s">
        <v>133</v>
      </c>
      <c r="I16" s="29" t="s">
        <v>93</v>
      </c>
      <c r="J16" s="29" t="s">
        <v>94</v>
      </c>
      <c r="K16" s="29" t="s">
        <v>134</v>
      </c>
      <c r="L16" s="29" t="s">
        <v>135</v>
      </c>
      <c r="M16" s="29" t="s">
        <v>97</v>
      </c>
      <c r="N16" s="29" t="s">
        <v>30</v>
      </c>
      <c r="O16" s="29" t="s">
        <v>31</v>
      </c>
      <c r="P16" s="29" t="s">
        <v>32</v>
      </c>
      <c r="Q16" s="29" t="s">
        <v>33</v>
      </c>
      <c r="R16" s="29" t="s">
        <v>34</v>
      </c>
      <c r="S16" s="29" t="s">
        <v>136</v>
      </c>
    </row>
    <row r="17" spans="1:19" ht="42" customHeight="1">
      <c r="A17" s="24">
        <v>16</v>
      </c>
      <c r="B17" s="29" t="s">
        <v>137</v>
      </c>
      <c r="C17" s="29" t="s">
        <v>138</v>
      </c>
      <c r="D17" s="29" t="s">
        <v>138</v>
      </c>
      <c r="E17" s="29" t="s">
        <v>139</v>
      </c>
      <c r="F17" s="29" t="s">
        <v>140</v>
      </c>
      <c r="G17" s="29" t="s">
        <v>45</v>
      </c>
      <c r="H17" s="29" t="s">
        <v>141</v>
      </c>
      <c r="I17" s="29" t="s">
        <v>25</v>
      </c>
      <c r="J17" s="29" t="s">
        <v>142</v>
      </c>
      <c r="K17" s="29" t="s">
        <v>143</v>
      </c>
      <c r="L17" s="29" t="s">
        <v>144</v>
      </c>
      <c r="M17" s="29" t="s">
        <v>145</v>
      </c>
      <c r="N17" s="29" t="s">
        <v>30</v>
      </c>
      <c r="O17" s="29" t="s">
        <v>31</v>
      </c>
      <c r="P17" s="29" t="s">
        <v>32</v>
      </c>
      <c r="Q17" s="29" t="s">
        <v>33</v>
      </c>
      <c r="R17" s="29" t="s">
        <v>34</v>
      </c>
      <c r="S17" s="29" t="s">
        <v>146</v>
      </c>
    </row>
    <row r="18" spans="1:19" ht="42" customHeight="1">
      <c r="A18" s="24">
        <v>17</v>
      </c>
      <c r="B18" s="29" t="s">
        <v>147</v>
      </c>
      <c r="C18" s="29" t="s">
        <v>138</v>
      </c>
      <c r="D18" s="29" t="s">
        <v>138</v>
      </c>
      <c r="E18" s="29" t="s">
        <v>139</v>
      </c>
      <c r="F18" s="29" t="s">
        <v>148</v>
      </c>
      <c r="G18" s="29" t="s">
        <v>45</v>
      </c>
      <c r="H18" s="29" t="s">
        <v>141</v>
      </c>
      <c r="I18" s="29" t="s">
        <v>47</v>
      </c>
      <c r="J18" s="29" t="s">
        <v>149</v>
      </c>
      <c r="K18" s="29" t="s">
        <v>150</v>
      </c>
      <c r="L18" s="29" t="s">
        <v>144</v>
      </c>
      <c r="M18" s="29" t="s">
        <v>151</v>
      </c>
      <c r="N18" s="29" t="s">
        <v>30</v>
      </c>
      <c r="O18" s="29" t="s">
        <v>31</v>
      </c>
      <c r="P18" s="29" t="s">
        <v>32</v>
      </c>
      <c r="Q18" s="29" t="s">
        <v>33</v>
      </c>
      <c r="R18" s="29" t="s">
        <v>34</v>
      </c>
      <c r="S18" s="29" t="s">
        <v>152</v>
      </c>
    </row>
    <row r="19" spans="1:19" ht="42" customHeight="1">
      <c r="A19" s="24">
        <v>18</v>
      </c>
      <c r="B19" s="29" t="s">
        <v>153</v>
      </c>
      <c r="C19" s="29" t="s">
        <v>138</v>
      </c>
      <c r="D19" s="29" t="s">
        <v>138</v>
      </c>
      <c r="E19" s="29" t="s">
        <v>139</v>
      </c>
      <c r="F19" s="29" t="s">
        <v>154</v>
      </c>
      <c r="G19" s="29" t="s">
        <v>23</v>
      </c>
      <c r="H19" s="29" t="s">
        <v>141</v>
      </c>
      <c r="I19" s="29" t="s">
        <v>25</v>
      </c>
      <c r="J19" s="29" t="s">
        <v>155</v>
      </c>
      <c r="K19" s="29" t="s">
        <v>156</v>
      </c>
      <c r="L19" s="29" t="s">
        <v>157</v>
      </c>
      <c r="M19" s="29" t="s">
        <v>68</v>
      </c>
      <c r="N19" s="29" t="s">
        <v>30</v>
      </c>
      <c r="O19" s="29" t="s">
        <v>31</v>
      </c>
      <c r="P19" s="29" t="s">
        <v>32</v>
      </c>
      <c r="Q19" s="29" t="s">
        <v>33</v>
      </c>
      <c r="R19" s="29" t="s">
        <v>34</v>
      </c>
      <c r="S19" s="29" t="s">
        <v>158</v>
      </c>
    </row>
    <row r="20" spans="1:19" ht="42" customHeight="1">
      <c r="A20" s="24">
        <v>19</v>
      </c>
      <c r="B20" s="29" t="s">
        <v>159</v>
      </c>
      <c r="C20" s="29" t="s">
        <v>138</v>
      </c>
      <c r="D20" s="29" t="s">
        <v>138</v>
      </c>
      <c r="E20" s="29" t="s">
        <v>139</v>
      </c>
      <c r="F20" s="29" t="s">
        <v>160</v>
      </c>
      <c r="G20" s="29" t="s">
        <v>23</v>
      </c>
      <c r="H20" s="29" t="s">
        <v>141</v>
      </c>
      <c r="I20" s="29" t="s">
        <v>38</v>
      </c>
      <c r="J20" s="29" t="s">
        <v>39</v>
      </c>
      <c r="K20" s="29" t="s">
        <v>161</v>
      </c>
      <c r="L20" s="29" t="s">
        <v>157</v>
      </c>
      <c r="M20" s="29" t="s">
        <v>162</v>
      </c>
      <c r="N20" s="29" t="s">
        <v>30</v>
      </c>
      <c r="O20" s="29" t="s">
        <v>31</v>
      </c>
      <c r="P20" s="29" t="s">
        <v>32</v>
      </c>
      <c r="Q20" s="29" t="s">
        <v>33</v>
      </c>
      <c r="R20" s="29" t="s">
        <v>34</v>
      </c>
      <c r="S20" s="29" t="s">
        <v>163</v>
      </c>
    </row>
    <row r="21" spans="1:19" ht="42" customHeight="1">
      <c r="A21" s="24">
        <v>20</v>
      </c>
      <c r="B21" s="29" t="s">
        <v>164</v>
      </c>
      <c r="C21" s="29" t="s">
        <v>138</v>
      </c>
      <c r="D21" s="29" t="s">
        <v>138</v>
      </c>
      <c r="E21" s="29" t="s">
        <v>139</v>
      </c>
      <c r="F21" s="29" t="s">
        <v>154</v>
      </c>
      <c r="G21" s="29" t="s">
        <v>23</v>
      </c>
      <c r="H21" s="29" t="s">
        <v>141</v>
      </c>
      <c r="I21" s="29" t="s">
        <v>47</v>
      </c>
      <c r="J21" s="29" t="s">
        <v>165</v>
      </c>
      <c r="K21" s="29" t="s">
        <v>166</v>
      </c>
      <c r="L21" s="29" t="s">
        <v>157</v>
      </c>
      <c r="M21" s="29" t="s">
        <v>167</v>
      </c>
      <c r="N21" s="29" t="s">
        <v>30</v>
      </c>
      <c r="O21" s="29" t="s">
        <v>31</v>
      </c>
      <c r="P21" s="29" t="s">
        <v>32</v>
      </c>
      <c r="Q21" s="29" t="s">
        <v>33</v>
      </c>
      <c r="R21" s="29" t="s">
        <v>34</v>
      </c>
      <c r="S21" s="29" t="s">
        <v>168</v>
      </c>
    </row>
    <row r="22" spans="1:19" ht="42" customHeight="1">
      <c r="A22" s="24">
        <v>21</v>
      </c>
      <c r="B22" s="29" t="s">
        <v>169</v>
      </c>
      <c r="C22" s="29" t="s">
        <v>138</v>
      </c>
      <c r="D22" s="29" t="s">
        <v>138</v>
      </c>
      <c r="E22" s="29" t="s">
        <v>139</v>
      </c>
      <c r="F22" s="29" t="s">
        <v>170</v>
      </c>
      <c r="G22" s="29" t="s">
        <v>45</v>
      </c>
      <c r="H22" s="29" t="s">
        <v>171</v>
      </c>
      <c r="I22" s="29" t="s">
        <v>93</v>
      </c>
      <c r="J22" s="29" t="s">
        <v>94</v>
      </c>
      <c r="K22" s="29" t="s">
        <v>172</v>
      </c>
      <c r="L22" s="29" t="s">
        <v>173</v>
      </c>
      <c r="M22" s="29" t="s">
        <v>97</v>
      </c>
      <c r="N22" s="29" t="s">
        <v>30</v>
      </c>
      <c r="O22" s="29" t="s">
        <v>31</v>
      </c>
      <c r="P22" s="29" t="s">
        <v>32</v>
      </c>
      <c r="Q22" s="29" t="s">
        <v>33</v>
      </c>
      <c r="R22" s="29" t="s">
        <v>34</v>
      </c>
      <c r="S22" s="29" t="s">
        <v>174</v>
      </c>
    </row>
    <row r="23" spans="1:19" ht="42" customHeight="1">
      <c r="A23" s="24">
        <v>22</v>
      </c>
      <c r="B23" s="29" t="s">
        <v>175</v>
      </c>
      <c r="C23" s="29" t="s">
        <v>138</v>
      </c>
      <c r="D23" s="29" t="s">
        <v>138</v>
      </c>
      <c r="E23" s="29" t="s">
        <v>139</v>
      </c>
      <c r="F23" s="29" t="s">
        <v>176</v>
      </c>
      <c r="G23" s="29" t="s">
        <v>55</v>
      </c>
      <c r="H23" s="29" t="s">
        <v>171</v>
      </c>
      <c r="I23" s="29" t="s">
        <v>93</v>
      </c>
      <c r="J23" s="29" t="s">
        <v>102</v>
      </c>
      <c r="K23" s="29" t="s">
        <v>177</v>
      </c>
      <c r="L23" s="29" t="s">
        <v>178</v>
      </c>
      <c r="M23" s="29" t="s">
        <v>97</v>
      </c>
      <c r="N23" s="29" t="s">
        <v>30</v>
      </c>
      <c r="O23" s="29" t="s">
        <v>31</v>
      </c>
      <c r="P23" s="29" t="s">
        <v>32</v>
      </c>
      <c r="Q23" s="29" t="s">
        <v>33</v>
      </c>
      <c r="R23" s="29" t="s">
        <v>34</v>
      </c>
      <c r="S23" s="29" t="s">
        <v>179</v>
      </c>
    </row>
    <row r="24" spans="1:19" ht="42" customHeight="1">
      <c r="A24" s="24">
        <v>23</v>
      </c>
      <c r="B24" s="29" t="s">
        <v>180</v>
      </c>
      <c r="C24" s="29" t="s">
        <v>138</v>
      </c>
      <c r="D24" s="29" t="s">
        <v>138</v>
      </c>
      <c r="E24" s="29" t="s">
        <v>139</v>
      </c>
      <c r="F24" s="29" t="s">
        <v>181</v>
      </c>
      <c r="G24" s="29" t="s">
        <v>114</v>
      </c>
      <c r="H24" s="29" t="s">
        <v>171</v>
      </c>
      <c r="I24" s="29" t="s">
        <v>93</v>
      </c>
      <c r="J24" s="29" t="s">
        <v>102</v>
      </c>
      <c r="K24" s="29" t="s">
        <v>172</v>
      </c>
      <c r="L24" s="29" t="s">
        <v>182</v>
      </c>
      <c r="M24" s="29" t="s">
        <v>97</v>
      </c>
      <c r="N24" s="29" t="s">
        <v>30</v>
      </c>
      <c r="O24" s="29" t="s">
        <v>31</v>
      </c>
      <c r="P24" s="29" t="s">
        <v>32</v>
      </c>
      <c r="Q24" s="29" t="s">
        <v>33</v>
      </c>
      <c r="R24" s="29" t="s">
        <v>34</v>
      </c>
      <c r="S24" s="29" t="s">
        <v>183</v>
      </c>
    </row>
    <row r="25" spans="1:19" ht="42" customHeight="1">
      <c r="A25" s="24">
        <v>24</v>
      </c>
      <c r="B25" s="29" t="s">
        <v>184</v>
      </c>
      <c r="C25" s="29" t="s">
        <v>138</v>
      </c>
      <c r="D25" s="29" t="s">
        <v>138</v>
      </c>
      <c r="E25" s="29" t="s">
        <v>139</v>
      </c>
      <c r="F25" s="29" t="s">
        <v>185</v>
      </c>
      <c r="G25" s="29" t="s">
        <v>45</v>
      </c>
      <c r="H25" s="29" t="s">
        <v>186</v>
      </c>
      <c r="I25" s="29" t="s">
        <v>93</v>
      </c>
      <c r="J25" s="29" t="s">
        <v>94</v>
      </c>
      <c r="K25" s="29" t="s">
        <v>187</v>
      </c>
      <c r="L25" s="29" t="s">
        <v>188</v>
      </c>
      <c r="M25" s="29" t="s">
        <v>97</v>
      </c>
      <c r="N25" s="29" t="s">
        <v>30</v>
      </c>
      <c r="O25" s="29" t="s">
        <v>31</v>
      </c>
      <c r="P25" s="29" t="s">
        <v>32</v>
      </c>
      <c r="Q25" s="29" t="s">
        <v>33</v>
      </c>
      <c r="R25" s="29" t="s">
        <v>34</v>
      </c>
      <c r="S25" s="29" t="s">
        <v>189</v>
      </c>
    </row>
    <row r="26" spans="1:19" ht="42" customHeight="1">
      <c r="A26" s="24">
        <v>25</v>
      </c>
      <c r="B26" s="29" t="s">
        <v>190</v>
      </c>
      <c r="C26" s="29" t="s">
        <v>138</v>
      </c>
      <c r="D26" s="29" t="s">
        <v>138</v>
      </c>
      <c r="E26" s="29" t="s">
        <v>139</v>
      </c>
      <c r="F26" s="29" t="s">
        <v>191</v>
      </c>
      <c r="G26" s="29" t="s">
        <v>45</v>
      </c>
      <c r="H26" s="29" t="s">
        <v>192</v>
      </c>
      <c r="I26" s="29" t="s">
        <v>93</v>
      </c>
      <c r="J26" s="29" t="s">
        <v>94</v>
      </c>
      <c r="K26" s="29" t="s">
        <v>193</v>
      </c>
      <c r="L26" s="29" t="s">
        <v>194</v>
      </c>
      <c r="M26" s="29" t="s">
        <v>97</v>
      </c>
      <c r="N26" s="29" t="s">
        <v>30</v>
      </c>
      <c r="O26" s="29" t="s">
        <v>31</v>
      </c>
      <c r="P26" s="29" t="s">
        <v>32</v>
      </c>
      <c r="Q26" s="29" t="s">
        <v>33</v>
      </c>
      <c r="R26" s="29" t="s">
        <v>34</v>
      </c>
      <c r="S26" s="29" t="s">
        <v>195</v>
      </c>
    </row>
    <row r="27" spans="1:19" ht="42" customHeight="1">
      <c r="A27" s="24">
        <v>26</v>
      </c>
      <c r="B27" s="29" t="s">
        <v>196</v>
      </c>
      <c r="C27" s="29" t="s">
        <v>138</v>
      </c>
      <c r="D27" s="29" t="s">
        <v>138</v>
      </c>
      <c r="E27" s="29" t="s">
        <v>139</v>
      </c>
      <c r="F27" s="29" t="s">
        <v>197</v>
      </c>
      <c r="G27" s="29" t="s">
        <v>45</v>
      </c>
      <c r="H27" s="29" t="s">
        <v>198</v>
      </c>
      <c r="I27" s="29" t="s">
        <v>93</v>
      </c>
      <c r="J27" s="29" t="s">
        <v>94</v>
      </c>
      <c r="K27" s="29" t="s">
        <v>199</v>
      </c>
      <c r="L27" s="29" t="s">
        <v>200</v>
      </c>
      <c r="M27" s="29" t="s">
        <v>97</v>
      </c>
      <c r="N27" s="29" t="s">
        <v>30</v>
      </c>
      <c r="O27" s="29" t="s">
        <v>31</v>
      </c>
      <c r="P27" s="29" t="s">
        <v>32</v>
      </c>
      <c r="Q27" s="29" t="s">
        <v>33</v>
      </c>
      <c r="R27" s="29" t="s">
        <v>34</v>
      </c>
      <c r="S27" s="29" t="s">
        <v>201</v>
      </c>
    </row>
    <row r="28" spans="1:19" ht="42" customHeight="1">
      <c r="A28" s="24">
        <v>27</v>
      </c>
      <c r="B28" s="29" t="s">
        <v>202</v>
      </c>
      <c r="C28" s="29" t="s">
        <v>138</v>
      </c>
      <c r="D28" s="29" t="s">
        <v>138</v>
      </c>
      <c r="E28" s="29" t="s">
        <v>139</v>
      </c>
      <c r="F28" s="29" t="s">
        <v>203</v>
      </c>
      <c r="G28" s="29" t="s">
        <v>45</v>
      </c>
      <c r="H28" s="29" t="s">
        <v>204</v>
      </c>
      <c r="I28" s="29" t="s">
        <v>93</v>
      </c>
      <c r="J28" s="29" t="s">
        <v>94</v>
      </c>
      <c r="K28" s="29" t="s">
        <v>205</v>
      </c>
      <c r="L28" s="29" t="s">
        <v>206</v>
      </c>
      <c r="M28" s="29" t="s">
        <v>97</v>
      </c>
      <c r="N28" s="29" t="s">
        <v>30</v>
      </c>
      <c r="O28" s="29" t="s">
        <v>31</v>
      </c>
      <c r="P28" s="29" t="s">
        <v>32</v>
      </c>
      <c r="Q28" s="29" t="s">
        <v>33</v>
      </c>
      <c r="R28" s="29" t="s">
        <v>34</v>
      </c>
      <c r="S28" s="29" t="s">
        <v>207</v>
      </c>
    </row>
    <row r="29" spans="1:19" ht="42" customHeight="1">
      <c r="A29" s="24">
        <v>28</v>
      </c>
      <c r="B29" s="29" t="s">
        <v>208</v>
      </c>
      <c r="C29" s="29" t="s">
        <v>138</v>
      </c>
      <c r="D29" s="29" t="s">
        <v>138</v>
      </c>
      <c r="E29" s="29" t="s">
        <v>139</v>
      </c>
      <c r="F29" s="29" t="s">
        <v>209</v>
      </c>
      <c r="G29" s="29" t="s">
        <v>45</v>
      </c>
      <c r="H29" s="29" t="s">
        <v>210</v>
      </c>
      <c r="I29" s="29" t="s">
        <v>93</v>
      </c>
      <c r="J29" s="29" t="s">
        <v>94</v>
      </c>
      <c r="K29" s="29" t="s">
        <v>211</v>
      </c>
      <c r="L29" s="29" t="s">
        <v>212</v>
      </c>
      <c r="M29" s="29" t="s">
        <v>97</v>
      </c>
      <c r="N29" s="29" t="s">
        <v>30</v>
      </c>
      <c r="O29" s="29" t="s">
        <v>31</v>
      </c>
      <c r="P29" s="29" t="s">
        <v>32</v>
      </c>
      <c r="Q29" s="29" t="s">
        <v>33</v>
      </c>
      <c r="R29" s="29" t="s">
        <v>34</v>
      </c>
      <c r="S29" s="29" t="s">
        <v>213</v>
      </c>
    </row>
    <row r="30" spans="1:19" ht="42" customHeight="1">
      <c r="A30" s="24">
        <v>29</v>
      </c>
      <c r="B30" s="29" t="s">
        <v>214</v>
      </c>
      <c r="C30" s="29" t="s">
        <v>20</v>
      </c>
      <c r="D30" s="29" t="s">
        <v>20</v>
      </c>
      <c r="E30" s="29" t="s">
        <v>215</v>
      </c>
      <c r="F30" s="29" t="s">
        <v>216</v>
      </c>
      <c r="G30" s="29" t="s">
        <v>23</v>
      </c>
      <c r="H30" s="29" t="s">
        <v>217</v>
      </c>
      <c r="I30" s="29" t="s">
        <v>25</v>
      </c>
      <c r="J30" s="29" t="s">
        <v>155</v>
      </c>
      <c r="K30" s="29" t="s">
        <v>218</v>
      </c>
      <c r="L30" s="29" t="s">
        <v>219</v>
      </c>
      <c r="M30" s="29" t="s">
        <v>220</v>
      </c>
      <c r="N30" s="29" t="s">
        <v>30</v>
      </c>
      <c r="O30" s="29" t="s">
        <v>31</v>
      </c>
      <c r="P30" s="29" t="s">
        <v>32</v>
      </c>
      <c r="Q30" s="29" t="s">
        <v>33</v>
      </c>
      <c r="R30" s="29" t="s">
        <v>34</v>
      </c>
      <c r="S30" s="29" t="s">
        <v>221</v>
      </c>
    </row>
    <row r="31" spans="1:19" ht="42" customHeight="1">
      <c r="A31" s="24">
        <v>30</v>
      </c>
      <c r="B31" s="29" t="s">
        <v>222</v>
      </c>
      <c r="C31" s="29" t="s">
        <v>20</v>
      </c>
      <c r="D31" s="29" t="s">
        <v>20</v>
      </c>
      <c r="E31" s="29" t="s">
        <v>215</v>
      </c>
      <c r="F31" s="29" t="s">
        <v>223</v>
      </c>
      <c r="G31" s="29" t="s">
        <v>23</v>
      </c>
      <c r="H31" s="29" t="s">
        <v>217</v>
      </c>
      <c r="I31" s="29" t="s">
        <v>38</v>
      </c>
      <c r="J31" s="29" t="s">
        <v>39</v>
      </c>
      <c r="K31" s="29" t="s">
        <v>224</v>
      </c>
      <c r="L31" s="29" t="s">
        <v>219</v>
      </c>
      <c r="M31" s="29" t="s">
        <v>225</v>
      </c>
      <c r="N31" s="29" t="s">
        <v>30</v>
      </c>
      <c r="O31" s="29" t="s">
        <v>31</v>
      </c>
      <c r="P31" s="29" t="s">
        <v>32</v>
      </c>
      <c r="Q31" s="29" t="s">
        <v>33</v>
      </c>
      <c r="R31" s="29" t="s">
        <v>34</v>
      </c>
      <c r="S31" s="29" t="s">
        <v>226</v>
      </c>
    </row>
    <row r="32" spans="1:19" ht="42" customHeight="1">
      <c r="A32" s="24">
        <v>31</v>
      </c>
      <c r="B32" s="29" t="s">
        <v>227</v>
      </c>
      <c r="C32" s="29" t="s">
        <v>20</v>
      </c>
      <c r="D32" s="29" t="s">
        <v>20</v>
      </c>
      <c r="E32" s="29" t="s">
        <v>215</v>
      </c>
      <c r="F32" s="29" t="s">
        <v>228</v>
      </c>
      <c r="G32" s="29" t="s">
        <v>45</v>
      </c>
      <c r="H32" s="29" t="s">
        <v>229</v>
      </c>
      <c r="I32" s="29" t="s">
        <v>47</v>
      </c>
      <c r="J32" s="29" t="s">
        <v>230</v>
      </c>
      <c r="K32" s="29" t="s">
        <v>231</v>
      </c>
      <c r="L32" s="29" t="s">
        <v>232</v>
      </c>
      <c r="M32" s="29" t="s">
        <v>233</v>
      </c>
      <c r="N32" s="29" t="s">
        <v>30</v>
      </c>
      <c r="O32" s="29" t="s">
        <v>31</v>
      </c>
      <c r="P32" s="29" t="s">
        <v>32</v>
      </c>
      <c r="Q32" s="29" t="s">
        <v>33</v>
      </c>
      <c r="R32" s="29" t="s">
        <v>34</v>
      </c>
      <c r="S32" s="29" t="s">
        <v>234</v>
      </c>
    </row>
    <row r="33" spans="1:19" ht="42" customHeight="1">
      <c r="A33" s="24">
        <v>32</v>
      </c>
      <c r="B33" s="29" t="s">
        <v>235</v>
      </c>
      <c r="C33" s="29" t="s">
        <v>20</v>
      </c>
      <c r="D33" s="29" t="s">
        <v>20</v>
      </c>
      <c r="E33" s="29" t="s">
        <v>215</v>
      </c>
      <c r="F33" s="29" t="s">
        <v>236</v>
      </c>
      <c r="G33" s="29" t="s">
        <v>23</v>
      </c>
      <c r="H33" s="29" t="s">
        <v>237</v>
      </c>
      <c r="I33" s="29" t="s">
        <v>25</v>
      </c>
      <c r="J33" s="29" t="s">
        <v>238</v>
      </c>
      <c r="K33" s="29" t="s">
        <v>239</v>
      </c>
      <c r="L33" s="29" t="s">
        <v>240</v>
      </c>
      <c r="M33" s="29" t="s">
        <v>68</v>
      </c>
      <c r="N33" s="29" t="s">
        <v>30</v>
      </c>
      <c r="O33" s="29" t="s">
        <v>31</v>
      </c>
      <c r="P33" s="29" t="s">
        <v>32</v>
      </c>
      <c r="Q33" s="29" t="s">
        <v>33</v>
      </c>
      <c r="R33" s="29" t="s">
        <v>34</v>
      </c>
      <c r="S33" s="29" t="s">
        <v>241</v>
      </c>
    </row>
    <row r="34" spans="1:19" ht="42" customHeight="1">
      <c r="A34" s="24">
        <v>33</v>
      </c>
      <c r="B34" s="29" t="s">
        <v>242</v>
      </c>
      <c r="C34" s="29" t="s">
        <v>20</v>
      </c>
      <c r="D34" s="29" t="s">
        <v>20</v>
      </c>
      <c r="E34" s="29" t="s">
        <v>215</v>
      </c>
      <c r="F34" s="29" t="s">
        <v>243</v>
      </c>
      <c r="G34" s="29" t="s">
        <v>23</v>
      </c>
      <c r="H34" s="29" t="s">
        <v>237</v>
      </c>
      <c r="I34" s="29" t="s">
        <v>38</v>
      </c>
      <c r="J34" s="29" t="s">
        <v>39</v>
      </c>
      <c r="K34" s="29" t="s">
        <v>244</v>
      </c>
      <c r="L34" s="29" t="s">
        <v>240</v>
      </c>
      <c r="M34" s="29" t="s">
        <v>41</v>
      </c>
      <c r="N34" s="29" t="s">
        <v>30</v>
      </c>
      <c r="O34" s="29" t="s">
        <v>31</v>
      </c>
      <c r="P34" s="29" t="s">
        <v>32</v>
      </c>
      <c r="Q34" s="29" t="s">
        <v>33</v>
      </c>
      <c r="R34" s="29" t="s">
        <v>34</v>
      </c>
      <c r="S34" s="29" t="s">
        <v>245</v>
      </c>
    </row>
    <row r="35" spans="1:19" ht="42" customHeight="1">
      <c r="A35" s="24">
        <v>34</v>
      </c>
      <c r="B35" s="29" t="s">
        <v>246</v>
      </c>
      <c r="C35" s="29" t="s">
        <v>20</v>
      </c>
      <c r="D35" s="29" t="s">
        <v>20</v>
      </c>
      <c r="E35" s="29" t="s">
        <v>215</v>
      </c>
      <c r="F35" s="29" t="s">
        <v>216</v>
      </c>
      <c r="G35" s="29" t="s">
        <v>23</v>
      </c>
      <c r="H35" s="29" t="s">
        <v>217</v>
      </c>
      <c r="I35" s="29" t="s">
        <v>25</v>
      </c>
      <c r="J35" s="29" t="s">
        <v>155</v>
      </c>
      <c r="K35" s="29" t="s">
        <v>247</v>
      </c>
      <c r="L35" s="29" t="s">
        <v>219</v>
      </c>
      <c r="M35" s="29" t="s">
        <v>220</v>
      </c>
      <c r="N35" s="29" t="s">
        <v>30</v>
      </c>
      <c r="O35" s="29" t="s">
        <v>31</v>
      </c>
      <c r="P35" s="29" t="s">
        <v>32</v>
      </c>
      <c r="Q35" s="29" t="s">
        <v>33</v>
      </c>
      <c r="R35" s="29" t="s">
        <v>34</v>
      </c>
      <c r="S35" s="29" t="s">
        <v>248</v>
      </c>
    </row>
    <row r="36" spans="1:19" ht="42" customHeight="1">
      <c r="A36" s="24">
        <v>35</v>
      </c>
      <c r="B36" s="29" t="s">
        <v>249</v>
      </c>
      <c r="C36" s="29" t="s">
        <v>20</v>
      </c>
      <c r="D36" s="29" t="s">
        <v>20</v>
      </c>
      <c r="E36" s="29" t="s">
        <v>215</v>
      </c>
      <c r="F36" s="29" t="s">
        <v>250</v>
      </c>
      <c r="G36" s="29" t="s">
        <v>23</v>
      </c>
      <c r="H36" s="29" t="s">
        <v>217</v>
      </c>
      <c r="I36" s="29" t="s">
        <v>47</v>
      </c>
      <c r="J36" s="29" t="s">
        <v>39</v>
      </c>
      <c r="K36" s="29" t="s">
        <v>251</v>
      </c>
      <c r="L36" s="29" t="s">
        <v>219</v>
      </c>
      <c r="M36" s="29" t="s">
        <v>252</v>
      </c>
      <c r="N36" s="29" t="s">
        <v>30</v>
      </c>
      <c r="O36" s="29" t="s">
        <v>31</v>
      </c>
      <c r="P36" s="29" t="s">
        <v>32</v>
      </c>
      <c r="Q36" s="29" t="s">
        <v>33</v>
      </c>
      <c r="R36" s="29" t="s">
        <v>34</v>
      </c>
      <c r="S36" s="29" t="s">
        <v>253</v>
      </c>
    </row>
    <row r="37" spans="1:19" ht="42" customHeight="1">
      <c r="A37" s="24">
        <v>36</v>
      </c>
      <c r="B37" s="29" t="s">
        <v>254</v>
      </c>
      <c r="C37" s="29" t="s">
        <v>20</v>
      </c>
      <c r="D37" s="29" t="s">
        <v>20</v>
      </c>
      <c r="E37" s="29" t="s">
        <v>215</v>
      </c>
      <c r="F37" s="29" t="s">
        <v>255</v>
      </c>
      <c r="G37" s="29" t="s">
        <v>55</v>
      </c>
      <c r="H37" s="29" t="s">
        <v>229</v>
      </c>
      <c r="I37" s="29" t="s">
        <v>25</v>
      </c>
      <c r="J37" s="29" t="s">
        <v>256</v>
      </c>
      <c r="K37" s="29" t="s">
        <v>257</v>
      </c>
      <c r="L37" s="29" t="s">
        <v>258</v>
      </c>
      <c r="M37" s="29" t="s">
        <v>259</v>
      </c>
      <c r="N37" s="29" t="s">
        <v>30</v>
      </c>
      <c r="O37" s="29" t="s">
        <v>31</v>
      </c>
      <c r="P37" s="29" t="s">
        <v>32</v>
      </c>
      <c r="Q37" s="29" t="s">
        <v>33</v>
      </c>
      <c r="R37" s="29" t="s">
        <v>34</v>
      </c>
      <c r="S37" s="29" t="s">
        <v>260</v>
      </c>
    </row>
    <row r="38" spans="1:19" ht="42" customHeight="1">
      <c r="A38" s="24">
        <v>37</v>
      </c>
      <c r="B38" s="29" t="s">
        <v>261</v>
      </c>
      <c r="C38" s="29" t="s">
        <v>20</v>
      </c>
      <c r="D38" s="29" t="s">
        <v>20</v>
      </c>
      <c r="E38" s="29" t="s">
        <v>215</v>
      </c>
      <c r="F38" s="29" t="s">
        <v>236</v>
      </c>
      <c r="G38" s="29" t="s">
        <v>23</v>
      </c>
      <c r="H38" s="29" t="s">
        <v>237</v>
      </c>
      <c r="I38" s="29" t="s">
        <v>25</v>
      </c>
      <c r="J38" s="29" t="s">
        <v>238</v>
      </c>
      <c r="K38" s="29" t="s">
        <v>262</v>
      </c>
      <c r="L38" s="29" t="s">
        <v>240</v>
      </c>
      <c r="M38" s="29" t="s">
        <v>68</v>
      </c>
      <c r="N38" s="29" t="s">
        <v>30</v>
      </c>
      <c r="O38" s="29" t="s">
        <v>31</v>
      </c>
      <c r="P38" s="29" t="s">
        <v>32</v>
      </c>
      <c r="Q38" s="29" t="s">
        <v>33</v>
      </c>
      <c r="R38" s="29" t="s">
        <v>34</v>
      </c>
      <c r="S38" s="29" t="s">
        <v>263</v>
      </c>
    </row>
    <row r="39" spans="1:19" ht="42" customHeight="1">
      <c r="A39" s="24">
        <v>38</v>
      </c>
      <c r="B39" s="29" t="s">
        <v>264</v>
      </c>
      <c r="C39" s="29" t="s">
        <v>20</v>
      </c>
      <c r="D39" s="29" t="s">
        <v>20</v>
      </c>
      <c r="E39" s="29" t="s">
        <v>215</v>
      </c>
      <c r="F39" s="29" t="s">
        <v>265</v>
      </c>
      <c r="G39" s="29" t="s">
        <v>55</v>
      </c>
      <c r="H39" s="29" t="s">
        <v>266</v>
      </c>
      <c r="I39" s="29" t="s">
        <v>47</v>
      </c>
      <c r="J39" s="29" t="s">
        <v>267</v>
      </c>
      <c r="K39" s="29" t="s">
        <v>268</v>
      </c>
      <c r="L39" s="29" t="s">
        <v>269</v>
      </c>
      <c r="M39" s="29" t="s">
        <v>270</v>
      </c>
      <c r="N39" s="29" t="s">
        <v>30</v>
      </c>
      <c r="O39" s="29" t="s">
        <v>31</v>
      </c>
      <c r="P39" s="29" t="s">
        <v>32</v>
      </c>
      <c r="Q39" s="29" t="s">
        <v>33</v>
      </c>
      <c r="R39" s="29" t="s">
        <v>34</v>
      </c>
      <c r="S39" s="29" t="s">
        <v>271</v>
      </c>
    </row>
    <row r="40" spans="1:19" ht="42" customHeight="1">
      <c r="A40" s="24">
        <v>39</v>
      </c>
      <c r="B40" s="29" t="s">
        <v>272</v>
      </c>
      <c r="C40" s="29" t="s">
        <v>20</v>
      </c>
      <c r="D40" s="29" t="s">
        <v>20</v>
      </c>
      <c r="E40" s="29" t="s">
        <v>215</v>
      </c>
      <c r="F40" s="29" t="s">
        <v>273</v>
      </c>
      <c r="G40" s="29" t="s">
        <v>45</v>
      </c>
      <c r="H40" s="29" t="s">
        <v>274</v>
      </c>
      <c r="I40" s="29" t="s">
        <v>93</v>
      </c>
      <c r="J40" s="29" t="s">
        <v>94</v>
      </c>
      <c r="K40" s="29" t="s">
        <v>275</v>
      </c>
      <c r="L40" s="29" t="s">
        <v>276</v>
      </c>
      <c r="M40" s="29" t="s">
        <v>97</v>
      </c>
      <c r="N40" s="29" t="s">
        <v>30</v>
      </c>
      <c r="O40" s="29" t="s">
        <v>31</v>
      </c>
      <c r="P40" s="29" t="s">
        <v>32</v>
      </c>
      <c r="Q40" s="29" t="s">
        <v>33</v>
      </c>
      <c r="R40" s="29" t="s">
        <v>34</v>
      </c>
      <c r="S40" s="29" t="s">
        <v>277</v>
      </c>
    </row>
    <row r="41" spans="1:19" ht="42" customHeight="1">
      <c r="A41" s="24">
        <v>40</v>
      </c>
      <c r="B41" s="29" t="s">
        <v>278</v>
      </c>
      <c r="C41" s="29" t="s">
        <v>20</v>
      </c>
      <c r="D41" s="29" t="s">
        <v>20</v>
      </c>
      <c r="E41" s="29" t="s">
        <v>215</v>
      </c>
      <c r="F41" s="29" t="s">
        <v>279</v>
      </c>
      <c r="G41" s="29" t="s">
        <v>114</v>
      </c>
      <c r="H41" s="29" t="s">
        <v>280</v>
      </c>
      <c r="I41" s="29" t="s">
        <v>93</v>
      </c>
      <c r="J41" s="29" t="s">
        <v>102</v>
      </c>
      <c r="K41" s="29" t="s">
        <v>281</v>
      </c>
      <c r="L41" s="29" t="s">
        <v>282</v>
      </c>
      <c r="M41" s="29" t="s">
        <v>97</v>
      </c>
      <c r="N41" s="29" t="s">
        <v>30</v>
      </c>
      <c r="O41" s="29" t="s">
        <v>31</v>
      </c>
      <c r="P41" s="29" t="s">
        <v>32</v>
      </c>
      <c r="Q41" s="29" t="s">
        <v>33</v>
      </c>
      <c r="R41" s="29" t="s">
        <v>34</v>
      </c>
      <c r="S41" s="29" t="s">
        <v>283</v>
      </c>
    </row>
    <row r="42" spans="1:19" ht="42" customHeight="1">
      <c r="A42" s="24">
        <v>41</v>
      </c>
      <c r="B42" s="29" t="s">
        <v>284</v>
      </c>
      <c r="C42" s="29" t="s">
        <v>20</v>
      </c>
      <c r="D42" s="29" t="s">
        <v>20</v>
      </c>
      <c r="E42" s="29" t="s">
        <v>215</v>
      </c>
      <c r="F42" s="29" t="s">
        <v>285</v>
      </c>
      <c r="G42" s="29" t="s">
        <v>45</v>
      </c>
      <c r="H42" s="29" t="s">
        <v>237</v>
      </c>
      <c r="I42" s="29" t="s">
        <v>93</v>
      </c>
      <c r="J42" s="29" t="s">
        <v>94</v>
      </c>
      <c r="K42" s="29" t="s">
        <v>286</v>
      </c>
      <c r="L42" s="29" t="s">
        <v>287</v>
      </c>
      <c r="M42" s="29" t="s">
        <v>97</v>
      </c>
      <c r="N42" s="29" t="s">
        <v>30</v>
      </c>
      <c r="O42" s="29" t="s">
        <v>31</v>
      </c>
      <c r="P42" s="29" t="s">
        <v>32</v>
      </c>
      <c r="Q42" s="29" t="s">
        <v>33</v>
      </c>
      <c r="R42" s="29" t="s">
        <v>34</v>
      </c>
      <c r="S42" s="29" t="s">
        <v>288</v>
      </c>
    </row>
    <row r="43" spans="1:19" ht="42" customHeight="1">
      <c r="A43" s="24">
        <v>42</v>
      </c>
      <c r="B43" s="29" t="s">
        <v>289</v>
      </c>
      <c r="C43" s="29" t="s">
        <v>20</v>
      </c>
      <c r="D43" s="29" t="s">
        <v>20</v>
      </c>
      <c r="E43" s="29" t="s">
        <v>215</v>
      </c>
      <c r="F43" s="29" t="s">
        <v>290</v>
      </c>
      <c r="G43" s="29" t="s">
        <v>45</v>
      </c>
      <c r="H43" s="29" t="s">
        <v>291</v>
      </c>
      <c r="I43" s="29" t="s">
        <v>93</v>
      </c>
      <c r="J43" s="29" t="s">
        <v>94</v>
      </c>
      <c r="K43" s="29" t="s">
        <v>292</v>
      </c>
      <c r="L43" s="29" t="s">
        <v>293</v>
      </c>
      <c r="M43" s="29" t="s">
        <v>97</v>
      </c>
      <c r="N43" s="29" t="s">
        <v>30</v>
      </c>
      <c r="O43" s="29" t="s">
        <v>31</v>
      </c>
      <c r="P43" s="29" t="s">
        <v>32</v>
      </c>
      <c r="Q43" s="29" t="s">
        <v>33</v>
      </c>
      <c r="R43" s="29" t="s">
        <v>34</v>
      </c>
      <c r="S43" s="29" t="s">
        <v>294</v>
      </c>
    </row>
    <row r="44" spans="1:19" ht="42" customHeight="1">
      <c r="A44" s="24">
        <v>43</v>
      </c>
      <c r="B44" s="29" t="s">
        <v>295</v>
      </c>
      <c r="C44" s="29" t="s">
        <v>20</v>
      </c>
      <c r="D44" s="29" t="s">
        <v>20</v>
      </c>
      <c r="E44" s="29" t="s">
        <v>215</v>
      </c>
      <c r="F44" s="29" t="s">
        <v>296</v>
      </c>
      <c r="G44" s="29" t="s">
        <v>114</v>
      </c>
      <c r="H44" s="29" t="s">
        <v>291</v>
      </c>
      <c r="I44" s="29" t="s">
        <v>93</v>
      </c>
      <c r="J44" s="29" t="s">
        <v>102</v>
      </c>
      <c r="K44" s="29" t="s">
        <v>292</v>
      </c>
      <c r="L44" s="29" t="s">
        <v>297</v>
      </c>
      <c r="M44" s="29" t="s">
        <v>97</v>
      </c>
      <c r="N44" s="29" t="s">
        <v>30</v>
      </c>
      <c r="O44" s="29" t="s">
        <v>31</v>
      </c>
      <c r="P44" s="29" t="s">
        <v>32</v>
      </c>
      <c r="Q44" s="29" t="s">
        <v>33</v>
      </c>
      <c r="R44" s="29" t="s">
        <v>34</v>
      </c>
      <c r="S44" s="29" t="s">
        <v>298</v>
      </c>
    </row>
    <row r="45" spans="1:19" ht="42" customHeight="1">
      <c r="A45" s="24">
        <v>44</v>
      </c>
      <c r="B45" s="29" t="s">
        <v>299</v>
      </c>
      <c r="C45" s="29" t="s">
        <v>138</v>
      </c>
      <c r="D45" s="29" t="s">
        <v>138</v>
      </c>
      <c r="E45" s="29" t="s">
        <v>139</v>
      </c>
      <c r="F45" s="29" t="s">
        <v>300</v>
      </c>
      <c r="G45" s="29" t="s">
        <v>23</v>
      </c>
      <c r="H45" s="29" t="s">
        <v>301</v>
      </c>
      <c r="I45" s="29" t="s">
        <v>25</v>
      </c>
      <c r="J45" s="29" t="s">
        <v>39</v>
      </c>
      <c r="K45" s="29" t="s">
        <v>302</v>
      </c>
      <c r="L45" s="29" t="s">
        <v>303</v>
      </c>
      <c r="M45" s="29" t="s">
        <v>68</v>
      </c>
      <c r="N45" s="29" t="s">
        <v>30</v>
      </c>
      <c r="O45" s="29" t="s">
        <v>31</v>
      </c>
      <c r="P45" s="29" t="s">
        <v>32</v>
      </c>
      <c r="Q45" s="29" t="s">
        <v>33</v>
      </c>
      <c r="R45" s="29" t="s">
        <v>34</v>
      </c>
      <c r="S45" s="29" t="s">
        <v>304</v>
      </c>
    </row>
    <row r="46" spans="1:19" ht="42" customHeight="1">
      <c r="A46" s="24">
        <v>45</v>
      </c>
      <c r="B46" s="29" t="s">
        <v>305</v>
      </c>
      <c r="C46" s="29" t="s">
        <v>138</v>
      </c>
      <c r="D46" s="29" t="s">
        <v>138</v>
      </c>
      <c r="E46" s="29" t="s">
        <v>139</v>
      </c>
      <c r="F46" s="29" t="s">
        <v>306</v>
      </c>
      <c r="G46" s="29" t="s">
        <v>55</v>
      </c>
      <c r="H46" s="29" t="s">
        <v>307</v>
      </c>
      <c r="I46" s="29" t="s">
        <v>38</v>
      </c>
      <c r="J46" s="29" t="s">
        <v>308</v>
      </c>
      <c r="K46" s="29" t="s">
        <v>309</v>
      </c>
      <c r="L46" s="29" t="s">
        <v>310</v>
      </c>
      <c r="M46" s="29" t="s">
        <v>311</v>
      </c>
      <c r="N46" s="29" t="s">
        <v>30</v>
      </c>
      <c r="O46" s="29" t="s">
        <v>31</v>
      </c>
      <c r="P46" s="29" t="s">
        <v>32</v>
      </c>
      <c r="Q46" s="29" t="s">
        <v>33</v>
      </c>
      <c r="R46" s="29" t="s">
        <v>34</v>
      </c>
      <c r="S46" s="29" t="s">
        <v>312</v>
      </c>
    </row>
    <row r="47" spans="1:19" ht="42" customHeight="1">
      <c r="A47" s="24">
        <v>46</v>
      </c>
      <c r="B47" s="29" t="s">
        <v>313</v>
      </c>
      <c r="C47" s="29" t="s">
        <v>138</v>
      </c>
      <c r="D47" s="29" t="s">
        <v>138</v>
      </c>
      <c r="E47" s="29" t="s">
        <v>139</v>
      </c>
      <c r="F47" s="29" t="s">
        <v>300</v>
      </c>
      <c r="G47" s="29" t="s">
        <v>23</v>
      </c>
      <c r="H47" s="29" t="s">
        <v>301</v>
      </c>
      <c r="I47" s="29" t="s">
        <v>25</v>
      </c>
      <c r="J47" s="29" t="s">
        <v>39</v>
      </c>
      <c r="K47" s="29" t="s">
        <v>314</v>
      </c>
      <c r="L47" s="29" t="s">
        <v>303</v>
      </c>
      <c r="M47" s="29" t="s">
        <v>68</v>
      </c>
      <c r="N47" s="29" t="s">
        <v>30</v>
      </c>
      <c r="O47" s="29" t="s">
        <v>31</v>
      </c>
      <c r="P47" s="29" t="s">
        <v>32</v>
      </c>
      <c r="Q47" s="29" t="s">
        <v>33</v>
      </c>
      <c r="R47" s="29" t="s">
        <v>34</v>
      </c>
      <c r="S47" s="29" t="s">
        <v>315</v>
      </c>
    </row>
    <row r="48" spans="1:19" ht="42" customHeight="1">
      <c r="A48" s="24">
        <v>47</v>
      </c>
      <c r="B48" s="29" t="s">
        <v>316</v>
      </c>
      <c r="C48" s="29" t="s">
        <v>138</v>
      </c>
      <c r="D48" s="29" t="s">
        <v>138</v>
      </c>
      <c r="E48" s="29" t="s">
        <v>139</v>
      </c>
      <c r="F48" s="29" t="s">
        <v>317</v>
      </c>
      <c r="G48" s="29" t="s">
        <v>55</v>
      </c>
      <c r="H48" s="29" t="s">
        <v>307</v>
      </c>
      <c r="I48" s="29" t="s">
        <v>47</v>
      </c>
      <c r="J48" s="29" t="s">
        <v>165</v>
      </c>
      <c r="K48" s="29" t="s">
        <v>318</v>
      </c>
      <c r="L48" s="29" t="s">
        <v>310</v>
      </c>
      <c r="M48" s="29" t="s">
        <v>319</v>
      </c>
      <c r="N48" s="29" t="s">
        <v>30</v>
      </c>
      <c r="O48" s="29" t="s">
        <v>31</v>
      </c>
      <c r="P48" s="29" t="s">
        <v>32</v>
      </c>
      <c r="Q48" s="29" t="s">
        <v>33</v>
      </c>
      <c r="R48" s="29" t="s">
        <v>34</v>
      </c>
      <c r="S48" s="29" t="s">
        <v>320</v>
      </c>
    </row>
    <row r="49" spans="1:19" ht="42" customHeight="1">
      <c r="A49" s="24">
        <v>48</v>
      </c>
      <c r="B49" s="29" t="s">
        <v>321</v>
      </c>
      <c r="C49" s="29" t="s">
        <v>138</v>
      </c>
      <c r="D49" s="29" t="s">
        <v>138</v>
      </c>
      <c r="E49" s="29" t="s">
        <v>139</v>
      </c>
      <c r="F49" s="29" t="s">
        <v>322</v>
      </c>
      <c r="G49" s="29" t="s">
        <v>45</v>
      </c>
      <c r="H49" s="29" t="s">
        <v>323</v>
      </c>
      <c r="I49" s="29" t="s">
        <v>93</v>
      </c>
      <c r="J49" s="29" t="s">
        <v>94</v>
      </c>
      <c r="K49" s="29" t="s">
        <v>324</v>
      </c>
      <c r="L49" s="29" t="s">
        <v>325</v>
      </c>
      <c r="M49" s="29" t="s">
        <v>97</v>
      </c>
      <c r="N49" s="29" t="s">
        <v>30</v>
      </c>
      <c r="O49" s="29" t="s">
        <v>31</v>
      </c>
      <c r="P49" s="29" t="s">
        <v>32</v>
      </c>
      <c r="Q49" s="29" t="s">
        <v>33</v>
      </c>
      <c r="R49" s="29" t="s">
        <v>34</v>
      </c>
      <c r="S49" s="29" t="s">
        <v>326</v>
      </c>
    </row>
    <row r="50" spans="1:19" ht="42" customHeight="1">
      <c r="A50" s="24">
        <v>49</v>
      </c>
      <c r="B50" s="29" t="s">
        <v>327</v>
      </c>
      <c r="C50" s="29" t="s">
        <v>138</v>
      </c>
      <c r="D50" s="29" t="s">
        <v>138</v>
      </c>
      <c r="E50" s="29" t="s">
        <v>139</v>
      </c>
      <c r="F50" s="29" t="s">
        <v>328</v>
      </c>
      <c r="G50" s="29" t="s">
        <v>45</v>
      </c>
      <c r="H50" s="29" t="s">
        <v>329</v>
      </c>
      <c r="I50" s="29" t="s">
        <v>93</v>
      </c>
      <c r="J50" s="29" t="s">
        <v>94</v>
      </c>
      <c r="K50" s="29" t="s">
        <v>330</v>
      </c>
      <c r="L50" s="29" t="s">
        <v>331</v>
      </c>
      <c r="M50" s="29" t="s">
        <v>97</v>
      </c>
      <c r="N50" s="29" t="s">
        <v>30</v>
      </c>
      <c r="O50" s="29" t="s">
        <v>31</v>
      </c>
      <c r="P50" s="29" t="s">
        <v>32</v>
      </c>
      <c r="Q50" s="29" t="s">
        <v>33</v>
      </c>
      <c r="R50" s="29" t="s">
        <v>34</v>
      </c>
      <c r="S50" s="29" t="s">
        <v>332</v>
      </c>
    </row>
    <row r="51" spans="1:19" ht="42" customHeight="1">
      <c r="A51" s="24">
        <v>50</v>
      </c>
      <c r="B51" s="29" t="s">
        <v>333</v>
      </c>
      <c r="C51" s="29" t="s">
        <v>138</v>
      </c>
      <c r="D51" s="29" t="s">
        <v>138</v>
      </c>
      <c r="E51" s="29" t="s">
        <v>139</v>
      </c>
      <c r="F51" s="29" t="s">
        <v>334</v>
      </c>
      <c r="G51" s="29" t="s">
        <v>114</v>
      </c>
      <c r="H51" s="29" t="s">
        <v>329</v>
      </c>
      <c r="I51" s="29" t="s">
        <v>93</v>
      </c>
      <c r="J51" s="29" t="s">
        <v>102</v>
      </c>
      <c r="K51" s="29" t="s">
        <v>330</v>
      </c>
      <c r="L51" s="29" t="s">
        <v>335</v>
      </c>
      <c r="M51" s="29" t="s">
        <v>97</v>
      </c>
      <c r="N51" s="29" t="s">
        <v>30</v>
      </c>
      <c r="O51" s="29" t="s">
        <v>31</v>
      </c>
      <c r="P51" s="29" t="s">
        <v>32</v>
      </c>
      <c r="Q51" s="29" t="s">
        <v>33</v>
      </c>
      <c r="R51" s="29" t="s">
        <v>34</v>
      </c>
      <c r="S51" s="29" t="s">
        <v>336</v>
      </c>
    </row>
    <row r="52" spans="1:19" ht="42" customHeight="1">
      <c r="A52" s="24">
        <v>51</v>
      </c>
      <c r="B52" s="29" t="s">
        <v>337</v>
      </c>
      <c r="C52" s="29" t="s">
        <v>338</v>
      </c>
      <c r="D52" s="29" t="s">
        <v>338</v>
      </c>
      <c r="E52" s="29" t="s">
        <v>339</v>
      </c>
      <c r="F52" s="29" t="s">
        <v>340</v>
      </c>
      <c r="G52" s="29" t="s">
        <v>45</v>
      </c>
      <c r="H52" s="29" t="s">
        <v>341</v>
      </c>
      <c r="I52" s="29" t="s">
        <v>25</v>
      </c>
      <c r="J52" s="29" t="s">
        <v>342</v>
      </c>
      <c r="K52" s="29" t="s">
        <v>39</v>
      </c>
      <c r="L52" s="29" t="s">
        <v>343</v>
      </c>
      <c r="M52" s="29" t="s">
        <v>344</v>
      </c>
      <c r="N52" s="29" t="s">
        <v>30</v>
      </c>
      <c r="O52" s="29" t="s">
        <v>31</v>
      </c>
      <c r="P52" s="29" t="s">
        <v>32</v>
      </c>
      <c r="Q52" s="29" t="s">
        <v>33</v>
      </c>
      <c r="R52" s="29" t="s">
        <v>34</v>
      </c>
      <c r="S52" s="29" t="s">
        <v>345</v>
      </c>
    </row>
    <row r="53" spans="1:19" ht="42" customHeight="1">
      <c r="A53" s="24">
        <v>52</v>
      </c>
      <c r="B53" s="29" t="s">
        <v>346</v>
      </c>
      <c r="C53" s="29" t="s">
        <v>338</v>
      </c>
      <c r="D53" s="29" t="s">
        <v>338</v>
      </c>
      <c r="E53" s="29" t="s">
        <v>339</v>
      </c>
      <c r="F53" s="29" t="s">
        <v>347</v>
      </c>
      <c r="G53" s="29" t="s">
        <v>23</v>
      </c>
      <c r="H53" s="29" t="s">
        <v>341</v>
      </c>
      <c r="I53" s="29" t="s">
        <v>25</v>
      </c>
      <c r="J53" s="29" t="s">
        <v>348</v>
      </c>
      <c r="K53" s="29" t="s">
        <v>349</v>
      </c>
      <c r="L53" s="29" t="s">
        <v>350</v>
      </c>
      <c r="M53" s="29" t="s">
        <v>68</v>
      </c>
      <c r="N53" s="29" t="s">
        <v>30</v>
      </c>
      <c r="O53" s="29" t="s">
        <v>31</v>
      </c>
      <c r="P53" s="29" t="s">
        <v>32</v>
      </c>
      <c r="Q53" s="29" t="s">
        <v>33</v>
      </c>
      <c r="R53" s="29" t="s">
        <v>34</v>
      </c>
      <c r="S53" s="29" t="s">
        <v>351</v>
      </c>
    </row>
    <row r="54" spans="1:19" ht="42" customHeight="1">
      <c r="A54" s="24">
        <v>53</v>
      </c>
      <c r="B54" s="29" t="s">
        <v>352</v>
      </c>
      <c r="C54" s="29" t="s">
        <v>338</v>
      </c>
      <c r="D54" s="29" t="s">
        <v>338</v>
      </c>
      <c r="E54" s="29" t="s">
        <v>339</v>
      </c>
      <c r="F54" s="29" t="s">
        <v>353</v>
      </c>
      <c r="G54" s="29" t="s">
        <v>23</v>
      </c>
      <c r="H54" s="29" t="s">
        <v>341</v>
      </c>
      <c r="I54" s="29" t="s">
        <v>56</v>
      </c>
      <c r="J54" s="29" t="s">
        <v>354</v>
      </c>
      <c r="K54" s="29" t="s">
        <v>355</v>
      </c>
      <c r="L54" s="29" t="s">
        <v>350</v>
      </c>
      <c r="M54" s="29" t="s">
        <v>356</v>
      </c>
      <c r="N54" s="29" t="s">
        <v>30</v>
      </c>
      <c r="O54" s="29" t="s">
        <v>31</v>
      </c>
      <c r="P54" s="29" t="s">
        <v>32</v>
      </c>
      <c r="Q54" s="29" t="s">
        <v>33</v>
      </c>
      <c r="R54" s="29" t="s">
        <v>34</v>
      </c>
      <c r="S54" s="29" t="s">
        <v>357</v>
      </c>
    </row>
    <row r="55" spans="1:19" ht="42" customHeight="1">
      <c r="A55" s="24">
        <v>54</v>
      </c>
      <c r="B55" s="29" t="s">
        <v>358</v>
      </c>
      <c r="C55" s="29" t="s">
        <v>338</v>
      </c>
      <c r="D55" s="29" t="s">
        <v>338</v>
      </c>
      <c r="E55" s="29" t="s">
        <v>339</v>
      </c>
      <c r="F55" s="29" t="s">
        <v>347</v>
      </c>
      <c r="G55" s="29" t="s">
        <v>23</v>
      </c>
      <c r="H55" s="29" t="s">
        <v>341</v>
      </c>
      <c r="I55" s="29" t="s">
        <v>47</v>
      </c>
      <c r="J55" s="29" t="s">
        <v>359</v>
      </c>
      <c r="K55" s="29" t="s">
        <v>360</v>
      </c>
      <c r="L55" s="29" t="s">
        <v>350</v>
      </c>
      <c r="M55" s="29" t="s">
        <v>361</v>
      </c>
      <c r="N55" s="29" t="s">
        <v>30</v>
      </c>
      <c r="O55" s="29" t="s">
        <v>31</v>
      </c>
      <c r="P55" s="29" t="s">
        <v>32</v>
      </c>
      <c r="Q55" s="29" t="s">
        <v>33</v>
      </c>
      <c r="R55" s="29" t="s">
        <v>34</v>
      </c>
      <c r="S55" s="29" t="s">
        <v>362</v>
      </c>
    </row>
    <row r="56" spans="1:19" ht="42" customHeight="1">
      <c r="A56" s="24">
        <v>55</v>
      </c>
      <c r="B56" s="29" t="s">
        <v>363</v>
      </c>
      <c r="C56" s="29" t="s">
        <v>338</v>
      </c>
      <c r="D56" s="29" t="s">
        <v>338</v>
      </c>
      <c r="E56" s="29" t="s">
        <v>339</v>
      </c>
      <c r="F56" s="29" t="s">
        <v>364</v>
      </c>
      <c r="G56" s="29" t="s">
        <v>55</v>
      </c>
      <c r="H56" s="29" t="s">
        <v>365</v>
      </c>
      <c r="I56" s="29" t="s">
        <v>25</v>
      </c>
      <c r="J56" s="29" t="s">
        <v>366</v>
      </c>
      <c r="K56" s="29" t="s">
        <v>367</v>
      </c>
      <c r="L56" s="29" t="s">
        <v>368</v>
      </c>
      <c r="M56" s="29" t="s">
        <v>259</v>
      </c>
      <c r="N56" s="29" t="s">
        <v>30</v>
      </c>
      <c r="O56" s="29" t="s">
        <v>31</v>
      </c>
      <c r="P56" s="29" t="s">
        <v>32</v>
      </c>
      <c r="Q56" s="29" t="s">
        <v>33</v>
      </c>
      <c r="R56" s="29" t="s">
        <v>34</v>
      </c>
      <c r="S56" s="29" t="s">
        <v>369</v>
      </c>
    </row>
    <row r="57" spans="1:19" ht="42" customHeight="1">
      <c r="A57" s="24">
        <v>56</v>
      </c>
      <c r="B57" s="29" t="s">
        <v>370</v>
      </c>
      <c r="C57" s="29" t="s">
        <v>338</v>
      </c>
      <c r="D57" s="29" t="s">
        <v>338</v>
      </c>
      <c r="E57" s="29" t="s">
        <v>339</v>
      </c>
      <c r="F57" s="29" t="s">
        <v>371</v>
      </c>
      <c r="G57" s="29" t="s">
        <v>55</v>
      </c>
      <c r="H57" s="29" t="s">
        <v>365</v>
      </c>
      <c r="I57" s="29" t="s">
        <v>47</v>
      </c>
      <c r="J57" s="29" t="s">
        <v>366</v>
      </c>
      <c r="K57" s="29" t="s">
        <v>372</v>
      </c>
      <c r="L57" s="29" t="s">
        <v>368</v>
      </c>
      <c r="M57" s="29" t="s">
        <v>373</v>
      </c>
      <c r="N57" s="29" t="s">
        <v>30</v>
      </c>
      <c r="O57" s="29" t="s">
        <v>31</v>
      </c>
      <c r="P57" s="29" t="s">
        <v>32</v>
      </c>
      <c r="Q57" s="29" t="s">
        <v>33</v>
      </c>
      <c r="R57" s="29" t="s">
        <v>34</v>
      </c>
      <c r="S57" s="29" t="s">
        <v>374</v>
      </c>
    </row>
    <row r="58" spans="1:19" ht="42" customHeight="1">
      <c r="A58" s="24">
        <v>57</v>
      </c>
      <c r="B58" s="29" t="s">
        <v>375</v>
      </c>
      <c r="C58" s="29" t="s">
        <v>338</v>
      </c>
      <c r="D58" s="29" t="s">
        <v>338</v>
      </c>
      <c r="E58" s="29" t="s">
        <v>339</v>
      </c>
      <c r="F58" s="29" t="s">
        <v>376</v>
      </c>
      <c r="G58" s="29" t="s">
        <v>45</v>
      </c>
      <c r="H58" s="29" t="s">
        <v>377</v>
      </c>
      <c r="I58" s="29" t="s">
        <v>93</v>
      </c>
      <c r="J58" s="29" t="s">
        <v>94</v>
      </c>
      <c r="K58" s="29" t="s">
        <v>378</v>
      </c>
      <c r="L58" s="29" t="s">
        <v>379</v>
      </c>
      <c r="M58" s="29" t="s">
        <v>97</v>
      </c>
      <c r="N58" s="29" t="s">
        <v>30</v>
      </c>
      <c r="O58" s="29" t="s">
        <v>31</v>
      </c>
      <c r="P58" s="29" t="s">
        <v>32</v>
      </c>
      <c r="Q58" s="29" t="s">
        <v>33</v>
      </c>
      <c r="R58" s="29" t="s">
        <v>34</v>
      </c>
      <c r="S58" s="29" t="s">
        <v>380</v>
      </c>
    </row>
    <row r="59" spans="1:19" ht="42" customHeight="1">
      <c r="A59" s="24">
        <v>58</v>
      </c>
      <c r="B59" s="29" t="s">
        <v>381</v>
      </c>
      <c r="C59" s="29" t="s">
        <v>138</v>
      </c>
      <c r="D59" s="29" t="s">
        <v>138</v>
      </c>
      <c r="E59" s="29" t="s">
        <v>139</v>
      </c>
      <c r="F59" s="29" t="s">
        <v>382</v>
      </c>
      <c r="G59" s="29" t="s">
        <v>23</v>
      </c>
      <c r="H59" s="29" t="s">
        <v>383</v>
      </c>
      <c r="I59" s="29" t="s">
        <v>25</v>
      </c>
      <c r="J59" s="29" t="s">
        <v>384</v>
      </c>
      <c r="K59" s="29" t="s">
        <v>385</v>
      </c>
      <c r="L59" s="29" t="s">
        <v>386</v>
      </c>
      <c r="M59" s="29" t="s">
        <v>387</v>
      </c>
      <c r="N59" s="29" t="s">
        <v>30</v>
      </c>
      <c r="O59" s="29" t="s">
        <v>31</v>
      </c>
      <c r="P59" s="29" t="s">
        <v>32</v>
      </c>
      <c r="Q59" s="29" t="s">
        <v>33</v>
      </c>
      <c r="R59" s="29" t="s">
        <v>34</v>
      </c>
      <c r="S59" s="29" t="s">
        <v>388</v>
      </c>
    </row>
    <row r="60" spans="1:19" ht="42" customHeight="1">
      <c r="A60" s="24">
        <v>59</v>
      </c>
      <c r="B60" s="29" t="s">
        <v>389</v>
      </c>
      <c r="C60" s="29" t="s">
        <v>138</v>
      </c>
      <c r="D60" s="29" t="s">
        <v>138</v>
      </c>
      <c r="E60" s="29" t="s">
        <v>139</v>
      </c>
      <c r="F60" s="29" t="s">
        <v>390</v>
      </c>
      <c r="G60" s="29" t="s">
        <v>23</v>
      </c>
      <c r="H60" s="29" t="s">
        <v>383</v>
      </c>
      <c r="I60" s="29" t="s">
        <v>56</v>
      </c>
      <c r="J60" s="29" t="s">
        <v>391</v>
      </c>
      <c r="K60" s="29" t="s">
        <v>392</v>
      </c>
      <c r="L60" s="29" t="s">
        <v>386</v>
      </c>
      <c r="M60" s="29" t="s">
        <v>393</v>
      </c>
      <c r="N60" s="29" t="s">
        <v>30</v>
      </c>
      <c r="O60" s="29" t="s">
        <v>31</v>
      </c>
      <c r="P60" s="29" t="s">
        <v>32</v>
      </c>
      <c r="Q60" s="29" t="s">
        <v>33</v>
      </c>
      <c r="R60" s="29" t="s">
        <v>34</v>
      </c>
      <c r="S60" s="29" t="s">
        <v>394</v>
      </c>
    </row>
    <row r="61" spans="1:19" ht="42" customHeight="1">
      <c r="A61" s="24">
        <v>60</v>
      </c>
      <c r="B61" s="29" t="s">
        <v>395</v>
      </c>
      <c r="C61" s="29" t="s">
        <v>138</v>
      </c>
      <c r="D61" s="29" t="s">
        <v>138</v>
      </c>
      <c r="E61" s="29" t="s">
        <v>139</v>
      </c>
      <c r="F61" s="29" t="s">
        <v>382</v>
      </c>
      <c r="G61" s="29" t="s">
        <v>23</v>
      </c>
      <c r="H61" s="29" t="s">
        <v>383</v>
      </c>
      <c r="I61" s="29" t="s">
        <v>47</v>
      </c>
      <c r="J61" s="29" t="s">
        <v>384</v>
      </c>
      <c r="K61" s="29" t="s">
        <v>396</v>
      </c>
      <c r="L61" s="29" t="s">
        <v>386</v>
      </c>
      <c r="M61" s="29" t="s">
        <v>397</v>
      </c>
      <c r="N61" s="29" t="s">
        <v>30</v>
      </c>
      <c r="O61" s="29" t="s">
        <v>31</v>
      </c>
      <c r="P61" s="29" t="s">
        <v>32</v>
      </c>
      <c r="Q61" s="29" t="s">
        <v>33</v>
      </c>
      <c r="R61" s="29" t="s">
        <v>34</v>
      </c>
      <c r="S61" s="29" t="s">
        <v>398</v>
      </c>
    </row>
    <row r="62" spans="1:19" ht="42" customHeight="1">
      <c r="A62" s="24">
        <v>61</v>
      </c>
      <c r="B62" s="29" t="s">
        <v>399</v>
      </c>
      <c r="C62" s="29" t="s">
        <v>138</v>
      </c>
      <c r="D62" s="29" t="s">
        <v>138</v>
      </c>
      <c r="E62" s="29" t="s">
        <v>139</v>
      </c>
      <c r="F62" s="29" t="s">
        <v>400</v>
      </c>
      <c r="G62" s="29" t="s">
        <v>23</v>
      </c>
      <c r="H62" s="29" t="s">
        <v>383</v>
      </c>
      <c r="I62" s="29" t="s">
        <v>56</v>
      </c>
      <c r="J62" s="29" t="s">
        <v>391</v>
      </c>
      <c r="K62" s="29" t="s">
        <v>401</v>
      </c>
      <c r="L62" s="29" t="s">
        <v>386</v>
      </c>
      <c r="M62" s="29" t="s">
        <v>402</v>
      </c>
      <c r="N62" s="29" t="s">
        <v>30</v>
      </c>
      <c r="O62" s="29" t="s">
        <v>31</v>
      </c>
      <c r="P62" s="29" t="s">
        <v>32</v>
      </c>
      <c r="Q62" s="29" t="s">
        <v>33</v>
      </c>
      <c r="R62" s="29" t="s">
        <v>34</v>
      </c>
      <c r="S62" s="29" t="s">
        <v>403</v>
      </c>
    </row>
    <row r="63" spans="1:19" ht="42" customHeight="1">
      <c r="A63" s="24">
        <v>62</v>
      </c>
      <c r="B63" s="29" t="s">
        <v>404</v>
      </c>
      <c r="C63" s="29" t="s">
        <v>138</v>
      </c>
      <c r="D63" s="29" t="s">
        <v>138</v>
      </c>
      <c r="E63" s="29" t="s">
        <v>139</v>
      </c>
      <c r="F63" s="29" t="s">
        <v>405</v>
      </c>
      <c r="G63" s="29" t="s">
        <v>23</v>
      </c>
      <c r="H63" s="29" t="s">
        <v>406</v>
      </c>
      <c r="I63" s="29" t="s">
        <v>25</v>
      </c>
      <c r="J63" s="29" t="s">
        <v>407</v>
      </c>
      <c r="K63" s="29" t="s">
        <v>408</v>
      </c>
      <c r="L63" s="29" t="s">
        <v>409</v>
      </c>
      <c r="M63" s="29" t="s">
        <v>68</v>
      </c>
      <c r="N63" s="29" t="s">
        <v>30</v>
      </c>
      <c r="O63" s="29" t="s">
        <v>31</v>
      </c>
      <c r="P63" s="29" t="s">
        <v>32</v>
      </c>
      <c r="Q63" s="29" t="s">
        <v>33</v>
      </c>
      <c r="R63" s="29" t="s">
        <v>34</v>
      </c>
      <c r="S63" s="29" t="s">
        <v>410</v>
      </c>
    </row>
    <row r="64" spans="1:19" ht="42" customHeight="1">
      <c r="A64" s="24">
        <v>63</v>
      </c>
      <c r="B64" s="29" t="s">
        <v>411</v>
      </c>
      <c r="C64" s="29" t="s">
        <v>138</v>
      </c>
      <c r="D64" s="29" t="s">
        <v>138</v>
      </c>
      <c r="E64" s="29" t="s">
        <v>139</v>
      </c>
      <c r="F64" s="29" t="s">
        <v>412</v>
      </c>
      <c r="G64" s="29" t="s">
        <v>23</v>
      </c>
      <c r="H64" s="29" t="s">
        <v>406</v>
      </c>
      <c r="I64" s="29" t="s">
        <v>56</v>
      </c>
      <c r="J64" s="29" t="s">
        <v>407</v>
      </c>
      <c r="K64" s="29" t="s">
        <v>413</v>
      </c>
      <c r="L64" s="29" t="s">
        <v>409</v>
      </c>
      <c r="M64" s="29" t="s">
        <v>414</v>
      </c>
      <c r="N64" s="29" t="s">
        <v>30</v>
      </c>
      <c r="O64" s="29" t="s">
        <v>31</v>
      </c>
      <c r="P64" s="29" t="s">
        <v>32</v>
      </c>
      <c r="Q64" s="29" t="s">
        <v>33</v>
      </c>
      <c r="R64" s="29" t="s">
        <v>34</v>
      </c>
      <c r="S64" s="29" t="s">
        <v>415</v>
      </c>
    </row>
    <row r="65" spans="1:19" ht="42" customHeight="1">
      <c r="A65" s="24">
        <v>64</v>
      </c>
      <c r="B65" s="29" t="s">
        <v>416</v>
      </c>
      <c r="C65" s="29" t="s">
        <v>138</v>
      </c>
      <c r="D65" s="29" t="s">
        <v>138</v>
      </c>
      <c r="E65" s="29" t="s">
        <v>139</v>
      </c>
      <c r="F65" s="29" t="s">
        <v>405</v>
      </c>
      <c r="G65" s="29" t="s">
        <v>23</v>
      </c>
      <c r="H65" s="29" t="s">
        <v>406</v>
      </c>
      <c r="I65" s="29" t="s">
        <v>25</v>
      </c>
      <c r="J65" s="29" t="s">
        <v>407</v>
      </c>
      <c r="K65" s="29" t="s">
        <v>417</v>
      </c>
      <c r="L65" s="29" t="s">
        <v>409</v>
      </c>
      <c r="M65" s="29" t="s">
        <v>68</v>
      </c>
      <c r="N65" s="29" t="s">
        <v>30</v>
      </c>
      <c r="O65" s="29" t="s">
        <v>31</v>
      </c>
      <c r="P65" s="29" t="s">
        <v>32</v>
      </c>
      <c r="Q65" s="29" t="s">
        <v>33</v>
      </c>
      <c r="R65" s="29" t="s">
        <v>34</v>
      </c>
      <c r="S65" s="29" t="s">
        <v>418</v>
      </c>
    </row>
    <row r="66" spans="1:19" ht="42" customHeight="1">
      <c r="A66" s="24">
        <v>65</v>
      </c>
      <c r="B66" s="29" t="s">
        <v>419</v>
      </c>
      <c r="C66" s="29" t="s">
        <v>138</v>
      </c>
      <c r="D66" s="29" t="s">
        <v>138</v>
      </c>
      <c r="E66" s="29" t="s">
        <v>139</v>
      </c>
      <c r="F66" s="29" t="s">
        <v>420</v>
      </c>
      <c r="G66" s="29" t="s">
        <v>23</v>
      </c>
      <c r="H66" s="29" t="s">
        <v>406</v>
      </c>
      <c r="I66" s="29" t="s">
        <v>47</v>
      </c>
      <c r="J66" s="29" t="s">
        <v>407</v>
      </c>
      <c r="K66" s="29" t="s">
        <v>421</v>
      </c>
      <c r="L66" s="29" t="s">
        <v>409</v>
      </c>
      <c r="M66" s="29" t="s">
        <v>422</v>
      </c>
      <c r="N66" s="29" t="s">
        <v>30</v>
      </c>
      <c r="O66" s="29" t="s">
        <v>31</v>
      </c>
      <c r="P66" s="29" t="s">
        <v>32</v>
      </c>
      <c r="Q66" s="29" t="s">
        <v>33</v>
      </c>
      <c r="R66" s="29" t="s">
        <v>34</v>
      </c>
      <c r="S66" s="29" t="s">
        <v>423</v>
      </c>
    </row>
    <row r="67" spans="1:19" ht="42" customHeight="1">
      <c r="A67" s="24">
        <v>66</v>
      </c>
      <c r="B67" s="29" t="s">
        <v>424</v>
      </c>
      <c r="C67" s="29" t="s">
        <v>138</v>
      </c>
      <c r="D67" s="29" t="s">
        <v>138</v>
      </c>
      <c r="E67" s="29" t="s">
        <v>139</v>
      </c>
      <c r="F67" s="29" t="s">
        <v>425</v>
      </c>
      <c r="G67" s="29" t="s">
        <v>55</v>
      </c>
      <c r="H67" s="29" t="s">
        <v>426</v>
      </c>
      <c r="I67" s="29" t="s">
        <v>25</v>
      </c>
      <c r="J67" s="29" t="s">
        <v>427</v>
      </c>
      <c r="K67" s="29" t="s">
        <v>428</v>
      </c>
      <c r="L67" s="29" t="s">
        <v>429</v>
      </c>
      <c r="M67" s="29" t="s">
        <v>259</v>
      </c>
      <c r="N67" s="29" t="s">
        <v>30</v>
      </c>
      <c r="O67" s="29" t="s">
        <v>31</v>
      </c>
      <c r="P67" s="29" t="s">
        <v>32</v>
      </c>
      <c r="Q67" s="29" t="s">
        <v>33</v>
      </c>
      <c r="R67" s="29" t="s">
        <v>34</v>
      </c>
      <c r="S67" s="29" t="s">
        <v>430</v>
      </c>
    </row>
    <row r="68" spans="1:19" ht="42" customHeight="1">
      <c r="A68" s="24">
        <v>67</v>
      </c>
      <c r="B68" s="29" t="s">
        <v>431</v>
      </c>
      <c r="C68" s="29" t="s">
        <v>138</v>
      </c>
      <c r="D68" s="29" t="s">
        <v>138</v>
      </c>
      <c r="E68" s="29" t="s">
        <v>139</v>
      </c>
      <c r="F68" s="29" t="s">
        <v>432</v>
      </c>
      <c r="G68" s="29" t="s">
        <v>55</v>
      </c>
      <c r="H68" s="29" t="s">
        <v>426</v>
      </c>
      <c r="I68" s="29" t="s">
        <v>56</v>
      </c>
      <c r="J68" s="29" t="s">
        <v>427</v>
      </c>
      <c r="K68" s="29" t="s">
        <v>433</v>
      </c>
      <c r="L68" s="29" t="s">
        <v>429</v>
      </c>
      <c r="M68" s="29" t="s">
        <v>434</v>
      </c>
      <c r="N68" s="29" t="s">
        <v>30</v>
      </c>
      <c r="O68" s="29" t="s">
        <v>31</v>
      </c>
      <c r="P68" s="29" t="s">
        <v>32</v>
      </c>
      <c r="Q68" s="29" t="s">
        <v>33</v>
      </c>
      <c r="R68" s="29" t="s">
        <v>34</v>
      </c>
      <c r="S68" s="29" t="s">
        <v>435</v>
      </c>
    </row>
    <row r="69" spans="1:19" ht="42" customHeight="1">
      <c r="A69" s="24">
        <v>68</v>
      </c>
      <c r="B69" s="29" t="s">
        <v>436</v>
      </c>
      <c r="C69" s="29" t="s">
        <v>138</v>
      </c>
      <c r="D69" s="29" t="s">
        <v>138</v>
      </c>
      <c r="E69" s="29" t="s">
        <v>139</v>
      </c>
      <c r="F69" s="29" t="s">
        <v>437</v>
      </c>
      <c r="G69" s="29" t="s">
        <v>45</v>
      </c>
      <c r="H69" s="29" t="s">
        <v>406</v>
      </c>
      <c r="I69" s="29" t="s">
        <v>93</v>
      </c>
      <c r="J69" s="29" t="s">
        <v>94</v>
      </c>
      <c r="K69" s="29" t="s">
        <v>438</v>
      </c>
      <c r="L69" s="29" t="s">
        <v>439</v>
      </c>
      <c r="M69" s="29" t="s">
        <v>97</v>
      </c>
      <c r="N69" s="29" t="s">
        <v>30</v>
      </c>
      <c r="O69" s="29" t="s">
        <v>31</v>
      </c>
      <c r="P69" s="29" t="s">
        <v>32</v>
      </c>
      <c r="Q69" s="29" t="s">
        <v>33</v>
      </c>
      <c r="R69" s="29" t="s">
        <v>34</v>
      </c>
      <c r="S69" s="29" t="s">
        <v>440</v>
      </c>
    </row>
    <row r="70" spans="1:19" ht="42" customHeight="1">
      <c r="A70" s="24">
        <v>69</v>
      </c>
      <c r="B70" s="29" t="s">
        <v>441</v>
      </c>
      <c r="C70" s="29" t="s">
        <v>138</v>
      </c>
      <c r="D70" s="29" t="s">
        <v>138</v>
      </c>
      <c r="E70" s="29" t="s">
        <v>139</v>
      </c>
      <c r="F70" s="29" t="s">
        <v>442</v>
      </c>
      <c r="G70" s="29" t="s">
        <v>45</v>
      </c>
      <c r="H70" s="29" t="s">
        <v>443</v>
      </c>
      <c r="I70" s="29" t="s">
        <v>93</v>
      </c>
      <c r="J70" s="29" t="s">
        <v>94</v>
      </c>
      <c r="K70" s="29" t="s">
        <v>444</v>
      </c>
      <c r="L70" s="29" t="s">
        <v>445</v>
      </c>
      <c r="M70" s="29" t="s">
        <v>97</v>
      </c>
      <c r="N70" s="29" t="s">
        <v>30</v>
      </c>
      <c r="O70" s="29" t="s">
        <v>31</v>
      </c>
      <c r="P70" s="29" t="s">
        <v>32</v>
      </c>
      <c r="Q70" s="29" t="s">
        <v>33</v>
      </c>
      <c r="R70" s="29" t="s">
        <v>34</v>
      </c>
      <c r="S70" s="29" t="s">
        <v>446</v>
      </c>
    </row>
    <row r="71" spans="1:19" ht="42" customHeight="1">
      <c r="A71" s="24">
        <v>70</v>
      </c>
      <c r="B71" s="29" t="s">
        <v>447</v>
      </c>
      <c r="C71" s="29" t="s">
        <v>138</v>
      </c>
      <c r="D71" s="29" t="s">
        <v>138</v>
      </c>
      <c r="E71" s="29" t="s">
        <v>139</v>
      </c>
      <c r="F71" s="29" t="s">
        <v>448</v>
      </c>
      <c r="G71" s="29" t="s">
        <v>45</v>
      </c>
      <c r="H71" s="29" t="s">
        <v>449</v>
      </c>
      <c r="I71" s="29" t="s">
        <v>93</v>
      </c>
      <c r="J71" s="29" t="s">
        <v>94</v>
      </c>
      <c r="K71" s="29" t="s">
        <v>450</v>
      </c>
      <c r="L71" s="29" t="s">
        <v>451</v>
      </c>
      <c r="M71" s="29" t="s">
        <v>97</v>
      </c>
      <c r="N71" s="29" t="s">
        <v>30</v>
      </c>
      <c r="O71" s="29" t="s">
        <v>31</v>
      </c>
      <c r="P71" s="29" t="s">
        <v>32</v>
      </c>
      <c r="Q71" s="29" t="s">
        <v>33</v>
      </c>
      <c r="R71" s="29" t="s">
        <v>34</v>
      </c>
      <c r="S71" s="29" t="s">
        <v>452</v>
      </c>
    </row>
    <row r="72" spans="1:19" ht="42" customHeight="1">
      <c r="A72" s="24">
        <v>71</v>
      </c>
      <c r="B72" s="29" t="s">
        <v>453</v>
      </c>
      <c r="C72" s="29" t="s">
        <v>138</v>
      </c>
      <c r="D72" s="29" t="s">
        <v>138</v>
      </c>
      <c r="E72" s="29" t="s">
        <v>139</v>
      </c>
      <c r="F72" s="29" t="s">
        <v>454</v>
      </c>
      <c r="G72" s="29" t="s">
        <v>114</v>
      </c>
      <c r="H72" s="29" t="s">
        <v>449</v>
      </c>
      <c r="I72" s="29" t="s">
        <v>93</v>
      </c>
      <c r="J72" s="29" t="s">
        <v>102</v>
      </c>
      <c r="K72" s="29" t="s">
        <v>450</v>
      </c>
      <c r="L72" s="29" t="s">
        <v>455</v>
      </c>
      <c r="M72" s="29" t="s">
        <v>97</v>
      </c>
      <c r="N72" s="29" t="s">
        <v>30</v>
      </c>
      <c r="O72" s="29" t="s">
        <v>31</v>
      </c>
      <c r="P72" s="29" t="s">
        <v>32</v>
      </c>
      <c r="Q72" s="29" t="s">
        <v>33</v>
      </c>
      <c r="R72" s="29" t="s">
        <v>34</v>
      </c>
      <c r="S72" s="29" t="s">
        <v>456</v>
      </c>
    </row>
    <row r="73" spans="1:19" ht="42" customHeight="1">
      <c r="A73" s="24">
        <v>72</v>
      </c>
      <c r="B73" s="29" t="s">
        <v>457</v>
      </c>
      <c r="C73" s="29" t="s">
        <v>138</v>
      </c>
      <c r="D73" s="29" t="s">
        <v>138</v>
      </c>
      <c r="E73" s="29" t="s">
        <v>139</v>
      </c>
      <c r="F73" s="29" t="s">
        <v>458</v>
      </c>
      <c r="G73" s="29" t="s">
        <v>45</v>
      </c>
      <c r="H73" s="29" t="s">
        <v>459</v>
      </c>
      <c r="I73" s="29" t="s">
        <v>93</v>
      </c>
      <c r="J73" s="29" t="s">
        <v>94</v>
      </c>
      <c r="K73" s="29" t="s">
        <v>460</v>
      </c>
      <c r="L73" s="29" t="s">
        <v>461</v>
      </c>
      <c r="M73" s="29" t="s">
        <v>97</v>
      </c>
      <c r="N73" s="29" t="s">
        <v>30</v>
      </c>
      <c r="O73" s="29" t="s">
        <v>31</v>
      </c>
      <c r="P73" s="29" t="s">
        <v>32</v>
      </c>
      <c r="Q73" s="29" t="s">
        <v>33</v>
      </c>
      <c r="R73" s="29" t="s">
        <v>34</v>
      </c>
      <c r="S73" s="29" t="s">
        <v>462</v>
      </c>
    </row>
    <row r="74" spans="1:19" ht="42" customHeight="1">
      <c r="A74" s="24">
        <v>73</v>
      </c>
      <c r="B74" s="29" t="s">
        <v>463</v>
      </c>
      <c r="C74" s="29" t="s">
        <v>138</v>
      </c>
      <c r="D74" s="29" t="s">
        <v>138</v>
      </c>
      <c r="E74" s="29" t="s">
        <v>139</v>
      </c>
      <c r="F74" s="29" t="s">
        <v>464</v>
      </c>
      <c r="G74" s="29" t="s">
        <v>45</v>
      </c>
      <c r="H74" s="29" t="s">
        <v>465</v>
      </c>
      <c r="I74" s="29" t="s">
        <v>93</v>
      </c>
      <c r="J74" s="29" t="s">
        <v>94</v>
      </c>
      <c r="K74" s="29" t="s">
        <v>466</v>
      </c>
      <c r="L74" s="29" t="s">
        <v>467</v>
      </c>
      <c r="M74" s="29" t="s">
        <v>97</v>
      </c>
      <c r="N74" s="29" t="s">
        <v>30</v>
      </c>
      <c r="O74" s="29" t="s">
        <v>31</v>
      </c>
      <c r="P74" s="29" t="s">
        <v>32</v>
      </c>
      <c r="Q74" s="29" t="s">
        <v>33</v>
      </c>
      <c r="R74" s="29" t="s">
        <v>34</v>
      </c>
      <c r="S74" s="29" t="s">
        <v>468</v>
      </c>
    </row>
    <row r="75" spans="1:19" ht="42" customHeight="1">
      <c r="A75" s="24">
        <v>74</v>
      </c>
      <c r="B75" s="29" t="s">
        <v>469</v>
      </c>
      <c r="C75" s="29" t="s">
        <v>138</v>
      </c>
      <c r="D75" s="29" t="s">
        <v>138</v>
      </c>
      <c r="E75" s="29" t="s">
        <v>139</v>
      </c>
      <c r="F75" s="29" t="s">
        <v>470</v>
      </c>
      <c r="G75" s="29" t="s">
        <v>23</v>
      </c>
      <c r="H75" s="29" t="s">
        <v>459</v>
      </c>
      <c r="I75" s="29" t="s">
        <v>93</v>
      </c>
      <c r="J75" s="29" t="s">
        <v>102</v>
      </c>
      <c r="K75" s="29" t="s">
        <v>471</v>
      </c>
      <c r="L75" s="29" t="s">
        <v>472</v>
      </c>
      <c r="M75" s="29" t="s">
        <v>97</v>
      </c>
      <c r="N75" s="29" t="s">
        <v>30</v>
      </c>
      <c r="O75" s="29" t="s">
        <v>31</v>
      </c>
      <c r="P75" s="29" t="s">
        <v>32</v>
      </c>
      <c r="Q75" s="29" t="s">
        <v>33</v>
      </c>
      <c r="R75" s="29" t="s">
        <v>34</v>
      </c>
      <c r="S75" s="29" t="s">
        <v>473</v>
      </c>
    </row>
    <row r="76" spans="1:19" ht="42" customHeight="1">
      <c r="A76" s="24">
        <v>75</v>
      </c>
      <c r="B76" s="29" t="s">
        <v>474</v>
      </c>
      <c r="C76" s="29" t="s">
        <v>138</v>
      </c>
      <c r="D76" s="29" t="s">
        <v>138</v>
      </c>
      <c r="E76" s="29" t="s">
        <v>139</v>
      </c>
      <c r="F76" s="29" t="s">
        <v>475</v>
      </c>
      <c r="G76" s="29" t="s">
        <v>55</v>
      </c>
      <c r="H76" s="29" t="s">
        <v>476</v>
      </c>
      <c r="I76" s="29" t="s">
        <v>93</v>
      </c>
      <c r="J76" s="29" t="s">
        <v>102</v>
      </c>
      <c r="K76" s="29" t="s">
        <v>477</v>
      </c>
      <c r="L76" s="29" t="s">
        <v>478</v>
      </c>
      <c r="M76" s="29" t="s">
        <v>97</v>
      </c>
      <c r="N76" s="29" t="s">
        <v>30</v>
      </c>
      <c r="O76" s="29" t="s">
        <v>31</v>
      </c>
      <c r="P76" s="29" t="s">
        <v>32</v>
      </c>
      <c r="Q76" s="29" t="s">
        <v>33</v>
      </c>
      <c r="R76" s="29" t="s">
        <v>34</v>
      </c>
      <c r="S76" s="29" t="s">
        <v>479</v>
      </c>
    </row>
    <row r="77" spans="1:19" ht="42" customHeight="1">
      <c r="A77" s="24">
        <v>76</v>
      </c>
      <c r="B77" s="29" t="s">
        <v>480</v>
      </c>
      <c r="C77" s="29" t="s">
        <v>138</v>
      </c>
      <c r="D77" s="29" t="s">
        <v>138</v>
      </c>
      <c r="E77" s="29" t="s">
        <v>139</v>
      </c>
      <c r="F77" s="29" t="s">
        <v>481</v>
      </c>
      <c r="G77" s="29" t="s">
        <v>114</v>
      </c>
      <c r="H77" s="29" t="s">
        <v>476</v>
      </c>
      <c r="I77" s="29" t="s">
        <v>93</v>
      </c>
      <c r="J77" s="29" t="s">
        <v>102</v>
      </c>
      <c r="K77" s="29" t="s">
        <v>482</v>
      </c>
      <c r="L77" s="29" t="s">
        <v>483</v>
      </c>
      <c r="M77" s="29" t="s">
        <v>97</v>
      </c>
      <c r="N77" s="29" t="s">
        <v>30</v>
      </c>
      <c r="O77" s="29" t="s">
        <v>31</v>
      </c>
      <c r="P77" s="29" t="s">
        <v>32</v>
      </c>
      <c r="Q77" s="29" t="s">
        <v>33</v>
      </c>
      <c r="R77" s="29" t="s">
        <v>34</v>
      </c>
      <c r="S77" s="29" t="s">
        <v>484</v>
      </c>
    </row>
    <row r="78" spans="1:19" ht="42" customHeight="1">
      <c r="A78" s="24">
        <v>77</v>
      </c>
      <c r="B78" s="29" t="s">
        <v>485</v>
      </c>
      <c r="C78" s="29" t="s">
        <v>338</v>
      </c>
      <c r="D78" s="29" t="s">
        <v>338</v>
      </c>
      <c r="E78" s="29" t="s">
        <v>339</v>
      </c>
      <c r="F78" s="29" t="s">
        <v>486</v>
      </c>
      <c r="G78" s="29" t="s">
        <v>23</v>
      </c>
      <c r="H78" s="29" t="s">
        <v>487</v>
      </c>
      <c r="I78" s="29" t="s">
        <v>25</v>
      </c>
      <c r="J78" s="29" t="s">
        <v>488</v>
      </c>
      <c r="K78" s="29" t="s">
        <v>489</v>
      </c>
      <c r="L78" s="29" t="s">
        <v>490</v>
      </c>
      <c r="M78" s="29" t="s">
        <v>491</v>
      </c>
      <c r="N78" s="29" t="s">
        <v>30</v>
      </c>
      <c r="O78" s="29" t="s">
        <v>31</v>
      </c>
      <c r="P78" s="29" t="s">
        <v>32</v>
      </c>
      <c r="Q78" s="29" t="s">
        <v>33</v>
      </c>
      <c r="R78" s="29" t="s">
        <v>34</v>
      </c>
      <c r="S78" s="29" t="s">
        <v>492</v>
      </c>
    </row>
    <row r="79" spans="1:19" ht="42" customHeight="1">
      <c r="A79" s="24">
        <v>78</v>
      </c>
      <c r="B79" s="29" t="s">
        <v>493</v>
      </c>
      <c r="C79" s="29" t="s">
        <v>338</v>
      </c>
      <c r="D79" s="29" t="s">
        <v>338</v>
      </c>
      <c r="E79" s="29" t="s">
        <v>339</v>
      </c>
      <c r="F79" s="29" t="s">
        <v>494</v>
      </c>
      <c r="G79" s="29" t="s">
        <v>23</v>
      </c>
      <c r="H79" s="29" t="s">
        <v>487</v>
      </c>
      <c r="I79" s="29" t="s">
        <v>38</v>
      </c>
      <c r="J79" s="29" t="s">
        <v>39</v>
      </c>
      <c r="K79" s="29" t="s">
        <v>495</v>
      </c>
      <c r="L79" s="29" t="s">
        <v>490</v>
      </c>
      <c r="M79" s="29" t="s">
        <v>41</v>
      </c>
      <c r="N79" s="29" t="s">
        <v>30</v>
      </c>
      <c r="O79" s="29" t="s">
        <v>31</v>
      </c>
      <c r="P79" s="29" t="s">
        <v>32</v>
      </c>
      <c r="Q79" s="29" t="s">
        <v>33</v>
      </c>
      <c r="R79" s="29" t="s">
        <v>34</v>
      </c>
      <c r="S79" s="29" t="s">
        <v>496</v>
      </c>
    </row>
    <row r="80" spans="1:19" ht="42" customHeight="1">
      <c r="A80" s="24">
        <v>79</v>
      </c>
      <c r="B80" s="29" t="s">
        <v>497</v>
      </c>
      <c r="C80" s="29" t="s">
        <v>338</v>
      </c>
      <c r="D80" s="29" t="s">
        <v>338</v>
      </c>
      <c r="E80" s="29" t="s">
        <v>339</v>
      </c>
      <c r="F80" s="29" t="s">
        <v>498</v>
      </c>
      <c r="G80" s="29" t="s">
        <v>55</v>
      </c>
      <c r="H80" s="29" t="s">
        <v>499</v>
      </c>
      <c r="I80" s="29" t="s">
        <v>47</v>
      </c>
      <c r="J80" s="29" t="s">
        <v>500</v>
      </c>
      <c r="K80" s="29" t="s">
        <v>501</v>
      </c>
      <c r="L80" s="29" t="s">
        <v>502</v>
      </c>
      <c r="M80" s="29" t="s">
        <v>503</v>
      </c>
      <c r="N80" s="29" t="s">
        <v>30</v>
      </c>
      <c r="O80" s="29" t="s">
        <v>31</v>
      </c>
      <c r="P80" s="29" t="s">
        <v>32</v>
      </c>
      <c r="Q80" s="29" t="s">
        <v>33</v>
      </c>
      <c r="R80" s="29" t="s">
        <v>34</v>
      </c>
      <c r="S80" s="29" t="s">
        <v>504</v>
      </c>
    </row>
    <row r="81" spans="1:19" ht="42" customHeight="1">
      <c r="A81" s="24">
        <v>80</v>
      </c>
      <c r="B81" s="29" t="s">
        <v>505</v>
      </c>
      <c r="C81" s="29" t="s">
        <v>338</v>
      </c>
      <c r="D81" s="29" t="s">
        <v>338</v>
      </c>
      <c r="E81" s="29" t="s">
        <v>339</v>
      </c>
      <c r="F81" s="29" t="s">
        <v>506</v>
      </c>
      <c r="G81" s="29" t="s">
        <v>23</v>
      </c>
      <c r="H81" s="29" t="s">
        <v>507</v>
      </c>
      <c r="I81" s="29" t="s">
        <v>25</v>
      </c>
      <c r="J81" s="29" t="s">
        <v>508</v>
      </c>
      <c r="K81" s="29" t="s">
        <v>509</v>
      </c>
      <c r="L81" s="29" t="s">
        <v>510</v>
      </c>
      <c r="M81" s="29" t="s">
        <v>68</v>
      </c>
      <c r="N81" s="29" t="s">
        <v>30</v>
      </c>
      <c r="O81" s="29" t="s">
        <v>31</v>
      </c>
      <c r="P81" s="29" t="s">
        <v>32</v>
      </c>
      <c r="Q81" s="29" t="s">
        <v>33</v>
      </c>
      <c r="R81" s="29" t="s">
        <v>34</v>
      </c>
      <c r="S81" s="29" t="s">
        <v>511</v>
      </c>
    </row>
    <row r="82" spans="1:19" ht="42" customHeight="1">
      <c r="A82" s="24">
        <v>81</v>
      </c>
      <c r="B82" s="29" t="s">
        <v>512</v>
      </c>
      <c r="C82" s="29" t="s">
        <v>338</v>
      </c>
      <c r="D82" s="29" t="s">
        <v>338</v>
      </c>
      <c r="E82" s="29" t="s">
        <v>339</v>
      </c>
      <c r="F82" s="29" t="s">
        <v>513</v>
      </c>
      <c r="G82" s="29" t="s">
        <v>55</v>
      </c>
      <c r="H82" s="29" t="s">
        <v>514</v>
      </c>
      <c r="I82" s="29" t="s">
        <v>38</v>
      </c>
      <c r="J82" s="29" t="s">
        <v>515</v>
      </c>
      <c r="K82" s="29" t="s">
        <v>516</v>
      </c>
      <c r="L82" s="29" t="s">
        <v>517</v>
      </c>
      <c r="M82" s="29" t="s">
        <v>518</v>
      </c>
      <c r="N82" s="29" t="s">
        <v>30</v>
      </c>
      <c r="O82" s="29" t="s">
        <v>31</v>
      </c>
      <c r="P82" s="29" t="s">
        <v>32</v>
      </c>
      <c r="Q82" s="29" t="s">
        <v>33</v>
      </c>
      <c r="R82" s="29" t="s">
        <v>34</v>
      </c>
      <c r="S82" s="29" t="s">
        <v>519</v>
      </c>
    </row>
    <row r="83" spans="1:19" ht="42" customHeight="1">
      <c r="A83" s="24">
        <v>82</v>
      </c>
      <c r="B83" s="29" t="s">
        <v>520</v>
      </c>
      <c r="C83" s="29" t="s">
        <v>338</v>
      </c>
      <c r="D83" s="29" t="s">
        <v>338</v>
      </c>
      <c r="E83" s="29" t="s">
        <v>339</v>
      </c>
      <c r="F83" s="29" t="s">
        <v>521</v>
      </c>
      <c r="G83" s="29" t="s">
        <v>23</v>
      </c>
      <c r="H83" s="29" t="s">
        <v>522</v>
      </c>
      <c r="I83" s="29" t="s">
        <v>25</v>
      </c>
      <c r="J83" s="29" t="s">
        <v>39</v>
      </c>
      <c r="K83" s="29" t="s">
        <v>523</v>
      </c>
      <c r="L83" s="29" t="s">
        <v>524</v>
      </c>
      <c r="M83" s="29" t="s">
        <v>68</v>
      </c>
      <c r="N83" s="29" t="s">
        <v>30</v>
      </c>
      <c r="O83" s="29" t="s">
        <v>31</v>
      </c>
      <c r="P83" s="29" t="s">
        <v>32</v>
      </c>
      <c r="Q83" s="29" t="s">
        <v>33</v>
      </c>
      <c r="R83" s="29" t="s">
        <v>34</v>
      </c>
      <c r="S83" s="29" t="s">
        <v>525</v>
      </c>
    </row>
    <row r="84" spans="1:19" ht="42" customHeight="1">
      <c r="A84" s="24">
        <v>83</v>
      </c>
      <c r="B84" s="29" t="s">
        <v>526</v>
      </c>
      <c r="C84" s="29" t="s">
        <v>338</v>
      </c>
      <c r="D84" s="29" t="s">
        <v>338</v>
      </c>
      <c r="E84" s="29" t="s">
        <v>339</v>
      </c>
      <c r="F84" s="29" t="s">
        <v>527</v>
      </c>
      <c r="G84" s="29" t="s">
        <v>23</v>
      </c>
      <c r="H84" s="29" t="s">
        <v>528</v>
      </c>
      <c r="I84" s="29" t="s">
        <v>25</v>
      </c>
      <c r="J84" s="29" t="s">
        <v>529</v>
      </c>
      <c r="K84" s="29" t="s">
        <v>530</v>
      </c>
      <c r="L84" s="29" t="s">
        <v>531</v>
      </c>
      <c r="M84" s="29" t="s">
        <v>68</v>
      </c>
      <c r="N84" s="29" t="s">
        <v>30</v>
      </c>
      <c r="O84" s="29" t="s">
        <v>31</v>
      </c>
      <c r="P84" s="29" t="s">
        <v>32</v>
      </c>
      <c r="Q84" s="29" t="s">
        <v>33</v>
      </c>
      <c r="R84" s="29" t="s">
        <v>34</v>
      </c>
      <c r="S84" s="29" t="s">
        <v>532</v>
      </c>
    </row>
    <row r="85" spans="1:19" ht="42" customHeight="1">
      <c r="A85" s="24">
        <v>84</v>
      </c>
      <c r="B85" s="29" t="s">
        <v>533</v>
      </c>
      <c r="C85" s="29" t="s">
        <v>338</v>
      </c>
      <c r="D85" s="29" t="s">
        <v>338</v>
      </c>
      <c r="E85" s="29" t="s">
        <v>339</v>
      </c>
      <c r="F85" s="29" t="s">
        <v>534</v>
      </c>
      <c r="G85" s="29" t="s">
        <v>23</v>
      </c>
      <c r="H85" s="29" t="s">
        <v>535</v>
      </c>
      <c r="I85" s="29" t="s">
        <v>25</v>
      </c>
      <c r="J85" s="29" t="s">
        <v>529</v>
      </c>
      <c r="K85" s="29" t="s">
        <v>536</v>
      </c>
      <c r="L85" s="29" t="s">
        <v>537</v>
      </c>
      <c r="M85" s="29" t="s">
        <v>68</v>
      </c>
      <c r="N85" s="29" t="s">
        <v>30</v>
      </c>
      <c r="O85" s="29" t="s">
        <v>31</v>
      </c>
      <c r="P85" s="29" t="s">
        <v>32</v>
      </c>
      <c r="Q85" s="29" t="s">
        <v>33</v>
      </c>
      <c r="R85" s="29" t="s">
        <v>34</v>
      </c>
      <c r="S85" s="29" t="s">
        <v>538</v>
      </c>
    </row>
    <row r="86" spans="1:19" ht="42" customHeight="1">
      <c r="A86" s="24">
        <v>85</v>
      </c>
      <c r="B86" s="29" t="s">
        <v>539</v>
      </c>
      <c r="C86" s="29" t="s">
        <v>338</v>
      </c>
      <c r="D86" s="29" t="s">
        <v>338</v>
      </c>
      <c r="E86" s="29" t="s">
        <v>339</v>
      </c>
      <c r="F86" s="29" t="s">
        <v>486</v>
      </c>
      <c r="G86" s="29" t="s">
        <v>23</v>
      </c>
      <c r="H86" s="29" t="s">
        <v>487</v>
      </c>
      <c r="I86" s="29" t="s">
        <v>25</v>
      </c>
      <c r="J86" s="29" t="s">
        <v>540</v>
      </c>
      <c r="K86" s="29" t="s">
        <v>541</v>
      </c>
      <c r="L86" s="29" t="s">
        <v>490</v>
      </c>
      <c r="M86" s="29" t="s">
        <v>542</v>
      </c>
      <c r="N86" s="29" t="s">
        <v>30</v>
      </c>
      <c r="O86" s="29" t="s">
        <v>31</v>
      </c>
      <c r="P86" s="29" t="s">
        <v>32</v>
      </c>
      <c r="Q86" s="29" t="s">
        <v>33</v>
      </c>
      <c r="R86" s="29" t="s">
        <v>34</v>
      </c>
      <c r="S86" s="29" t="s">
        <v>543</v>
      </c>
    </row>
    <row r="87" spans="1:19" ht="42" customHeight="1">
      <c r="A87" s="24">
        <v>86</v>
      </c>
      <c r="B87" s="29" t="s">
        <v>544</v>
      </c>
      <c r="C87" s="29" t="s">
        <v>338</v>
      </c>
      <c r="D87" s="29" t="s">
        <v>338</v>
      </c>
      <c r="E87" s="29" t="s">
        <v>339</v>
      </c>
      <c r="F87" s="29" t="s">
        <v>545</v>
      </c>
      <c r="G87" s="29" t="s">
        <v>23</v>
      </c>
      <c r="H87" s="29" t="s">
        <v>487</v>
      </c>
      <c r="I87" s="29" t="s">
        <v>47</v>
      </c>
      <c r="J87" s="29" t="s">
        <v>39</v>
      </c>
      <c r="K87" s="29" t="s">
        <v>546</v>
      </c>
      <c r="L87" s="29" t="s">
        <v>490</v>
      </c>
      <c r="M87" s="29" t="s">
        <v>547</v>
      </c>
      <c r="N87" s="29" t="s">
        <v>30</v>
      </c>
      <c r="O87" s="29" t="s">
        <v>31</v>
      </c>
      <c r="P87" s="29" t="s">
        <v>32</v>
      </c>
      <c r="Q87" s="29" t="s">
        <v>33</v>
      </c>
      <c r="R87" s="29" t="s">
        <v>34</v>
      </c>
      <c r="S87" s="29" t="s">
        <v>548</v>
      </c>
    </row>
    <row r="88" spans="1:19" ht="42" customHeight="1">
      <c r="A88" s="24">
        <v>87</v>
      </c>
      <c r="B88" s="29" t="s">
        <v>549</v>
      </c>
      <c r="C88" s="29" t="s">
        <v>338</v>
      </c>
      <c r="D88" s="29" t="s">
        <v>338</v>
      </c>
      <c r="E88" s="29" t="s">
        <v>339</v>
      </c>
      <c r="F88" s="29" t="s">
        <v>498</v>
      </c>
      <c r="G88" s="29" t="s">
        <v>55</v>
      </c>
      <c r="H88" s="29" t="s">
        <v>499</v>
      </c>
      <c r="I88" s="29" t="s">
        <v>25</v>
      </c>
      <c r="J88" s="29" t="s">
        <v>550</v>
      </c>
      <c r="K88" s="29" t="s">
        <v>551</v>
      </c>
      <c r="L88" s="29" t="s">
        <v>502</v>
      </c>
      <c r="M88" s="29" t="s">
        <v>552</v>
      </c>
      <c r="N88" s="29" t="s">
        <v>30</v>
      </c>
      <c r="O88" s="29" t="s">
        <v>31</v>
      </c>
      <c r="P88" s="29" t="s">
        <v>32</v>
      </c>
      <c r="Q88" s="29" t="s">
        <v>33</v>
      </c>
      <c r="R88" s="29" t="s">
        <v>34</v>
      </c>
      <c r="S88" s="29" t="s">
        <v>553</v>
      </c>
    </row>
    <row r="89" spans="1:19" ht="42" customHeight="1">
      <c r="A89" s="24">
        <v>88</v>
      </c>
      <c r="B89" s="29" t="s">
        <v>554</v>
      </c>
      <c r="C89" s="29" t="s">
        <v>338</v>
      </c>
      <c r="D89" s="29" t="s">
        <v>338</v>
      </c>
      <c r="E89" s="29" t="s">
        <v>339</v>
      </c>
      <c r="F89" s="29" t="s">
        <v>555</v>
      </c>
      <c r="G89" s="29" t="s">
        <v>55</v>
      </c>
      <c r="H89" s="29" t="s">
        <v>499</v>
      </c>
      <c r="I89" s="29" t="s">
        <v>47</v>
      </c>
      <c r="J89" s="29" t="s">
        <v>550</v>
      </c>
      <c r="K89" s="29" t="s">
        <v>556</v>
      </c>
      <c r="L89" s="29" t="s">
        <v>502</v>
      </c>
      <c r="M89" s="29" t="s">
        <v>557</v>
      </c>
      <c r="N89" s="29" t="s">
        <v>30</v>
      </c>
      <c r="O89" s="29" t="s">
        <v>31</v>
      </c>
      <c r="P89" s="29" t="s">
        <v>32</v>
      </c>
      <c r="Q89" s="29" t="s">
        <v>33</v>
      </c>
      <c r="R89" s="29" t="s">
        <v>34</v>
      </c>
      <c r="S89" s="29" t="s">
        <v>558</v>
      </c>
    </row>
    <row r="90" spans="1:19" ht="42" customHeight="1">
      <c r="A90" s="24">
        <v>89</v>
      </c>
      <c r="B90" s="29" t="s">
        <v>559</v>
      </c>
      <c r="C90" s="29" t="s">
        <v>338</v>
      </c>
      <c r="D90" s="29" t="s">
        <v>338</v>
      </c>
      <c r="E90" s="29" t="s">
        <v>339</v>
      </c>
      <c r="F90" s="29" t="s">
        <v>506</v>
      </c>
      <c r="G90" s="29" t="s">
        <v>23</v>
      </c>
      <c r="H90" s="29" t="s">
        <v>507</v>
      </c>
      <c r="I90" s="29" t="s">
        <v>25</v>
      </c>
      <c r="J90" s="29" t="s">
        <v>560</v>
      </c>
      <c r="K90" s="29" t="s">
        <v>561</v>
      </c>
      <c r="L90" s="29" t="s">
        <v>510</v>
      </c>
      <c r="M90" s="29" t="s">
        <v>68</v>
      </c>
      <c r="N90" s="29" t="s">
        <v>30</v>
      </c>
      <c r="O90" s="29" t="s">
        <v>31</v>
      </c>
      <c r="P90" s="29" t="s">
        <v>32</v>
      </c>
      <c r="Q90" s="29" t="s">
        <v>33</v>
      </c>
      <c r="R90" s="29" t="s">
        <v>34</v>
      </c>
      <c r="S90" s="29" t="s">
        <v>562</v>
      </c>
    </row>
    <row r="91" spans="1:19" ht="42" customHeight="1">
      <c r="A91" s="24">
        <v>90</v>
      </c>
      <c r="B91" s="29" t="s">
        <v>563</v>
      </c>
      <c r="C91" s="29" t="s">
        <v>338</v>
      </c>
      <c r="D91" s="29" t="s">
        <v>338</v>
      </c>
      <c r="E91" s="29" t="s">
        <v>339</v>
      </c>
      <c r="F91" s="29" t="s">
        <v>564</v>
      </c>
      <c r="G91" s="29" t="s">
        <v>23</v>
      </c>
      <c r="H91" s="29" t="s">
        <v>507</v>
      </c>
      <c r="I91" s="29" t="s">
        <v>47</v>
      </c>
      <c r="J91" s="29" t="s">
        <v>550</v>
      </c>
      <c r="K91" s="29" t="s">
        <v>565</v>
      </c>
      <c r="L91" s="29" t="s">
        <v>510</v>
      </c>
      <c r="M91" s="29" t="s">
        <v>566</v>
      </c>
      <c r="N91" s="29" t="s">
        <v>30</v>
      </c>
      <c r="O91" s="29" t="s">
        <v>31</v>
      </c>
      <c r="P91" s="29" t="s">
        <v>32</v>
      </c>
      <c r="Q91" s="29" t="s">
        <v>33</v>
      </c>
      <c r="R91" s="29" t="s">
        <v>34</v>
      </c>
      <c r="S91" s="29" t="s">
        <v>567</v>
      </c>
    </row>
    <row r="92" spans="1:19" ht="42" customHeight="1">
      <c r="A92" s="24">
        <v>91</v>
      </c>
      <c r="B92" s="29" t="s">
        <v>568</v>
      </c>
      <c r="C92" s="29" t="s">
        <v>338</v>
      </c>
      <c r="D92" s="29" t="s">
        <v>338</v>
      </c>
      <c r="E92" s="29" t="s">
        <v>339</v>
      </c>
      <c r="F92" s="29" t="s">
        <v>513</v>
      </c>
      <c r="G92" s="29" t="s">
        <v>55</v>
      </c>
      <c r="H92" s="29" t="s">
        <v>514</v>
      </c>
      <c r="I92" s="29" t="s">
        <v>25</v>
      </c>
      <c r="J92" s="29" t="s">
        <v>569</v>
      </c>
      <c r="K92" s="29" t="s">
        <v>570</v>
      </c>
      <c r="L92" s="29" t="s">
        <v>517</v>
      </c>
      <c r="M92" s="29" t="s">
        <v>571</v>
      </c>
      <c r="N92" s="29" t="s">
        <v>30</v>
      </c>
      <c r="O92" s="29" t="s">
        <v>31</v>
      </c>
      <c r="P92" s="29" t="s">
        <v>32</v>
      </c>
      <c r="Q92" s="29" t="s">
        <v>33</v>
      </c>
      <c r="R92" s="29" t="s">
        <v>34</v>
      </c>
      <c r="S92" s="29" t="s">
        <v>572</v>
      </c>
    </row>
    <row r="93" spans="1:19" ht="42" customHeight="1">
      <c r="A93" s="24">
        <v>92</v>
      </c>
      <c r="B93" s="29" t="s">
        <v>573</v>
      </c>
      <c r="C93" s="29" t="s">
        <v>338</v>
      </c>
      <c r="D93" s="29" t="s">
        <v>338</v>
      </c>
      <c r="E93" s="29" t="s">
        <v>339</v>
      </c>
      <c r="F93" s="29" t="s">
        <v>574</v>
      </c>
      <c r="G93" s="29" t="s">
        <v>55</v>
      </c>
      <c r="H93" s="29" t="s">
        <v>514</v>
      </c>
      <c r="I93" s="29" t="s">
        <v>38</v>
      </c>
      <c r="J93" s="29" t="s">
        <v>575</v>
      </c>
      <c r="K93" s="29" t="s">
        <v>576</v>
      </c>
      <c r="L93" s="29" t="s">
        <v>517</v>
      </c>
      <c r="M93" s="29" t="s">
        <v>577</v>
      </c>
      <c r="N93" s="29" t="s">
        <v>30</v>
      </c>
      <c r="O93" s="29" t="s">
        <v>31</v>
      </c>
      <c r="P93" s="29" t="s">
        <v>32</v>
      </c>
      <c r="Q93" s="29" t="s">
        <v>33</v>
      </c>
      <c r="R93" s="29" t="s">
        <v>34</v>
      </c>
      <c r="S93" s="29" t="s">
        <v>578</v>
      </c>
    </row>
    <row r="94" spans="1:19" ht="42" customHeight="1">
      <c r="A94" s="24">
        <v>93</v>
      </c>
      <c r="B94" s="29" t="s">
        <v>579</v>
      </c>
      <c r="C94" s="29" t="s">
        <v>338</v>
      </c>
      <c r="D94" s="29" t="s">
        <v>338</v>
      </c>
      <c r="E94" s="29" t="s">
        <v>339</v>
      </c>
      <c r="F94" s="29" t="s">
        <v>527</v>
      </c>
      <c r="G94" s="29" t="s">
        <v>23</v>
      </c>
      <c r="H94" s="29" t="s">
        <v>528</v>
      </c>
      <c r="I94" s="29" t="s">
        <v>25</v>
      </c>
      <c r="J94" s="29" t="s">
        <v>529</v>
      </c>
      <c r="K94" s="29" t="s">
        <v>580</v>
      </c>
      <c r="L94" s="29" t="s">
        <v>531</v>
      </c>
      <c r="M94" s="29" t="s">
        <v>68</v>
      </c>
      <c r="N94" s="29" t="s">
        <v>30</v>
      </c>
      <c r="O94" s="29" t="s">
        <v>31</v>
      </c>
      <c r="P94" s="29" t="s">
        <v>32</v>
      </c>
      <c r="Q94" s="29" t="s">
        <v>33</v>
      </c>
      <c r="R94" s="29" t="s">
        <v>34</v>
      </c>
      <c r="S94" s="29" t="s">
        <v>581</v>
      </c>
    </row>
    <row r="95" spans="1:19" ht="42" customHeight="1">
      <c r="A95" s="24">
        <v>94</v>
      </c>
      <c r="B95" s="29" t="s">
        <v>582</v>
      </c>
      <c r="C95" s="29" t="s">
        <v>338</v>
      </c>
      <c r="D95" s="29" t="s">
        <v>338</v>
      </c>
      <c r="E95" s="29" t="s">
        <v>339</v>
      </c>
      <c r="F95" s="29" t="s">
        <v>583</v>
      </c>
      <c r="G95" s="29" t="s">
        <v>23</v>
      </c>
      <c r="H95" s="29" t="s">
        <v>528</v>
      </c>
      <c r="I95" s="29" t="s">
        <v>56</v>
      </c>
      <c r="J95" s="29" t="s">
        <v>529</v>
      </c>
      <c r="K95" s="29" t="s">
        <v>584</v>
      </c>
      <c r="L95" s="29" t="s">
        <v>531</v>
      </c>
      <c r="M95" s="29" t="s">
        <v>585</v>
      </c>
      <c r="N95" s="29" t="s">
        <v>30</v>
      </c>
      <c r="O95" s="29" t="s">
        <v>31</v>
      </c>
      <c r="P95" s="29" t="s">
        <v>32</v>
      </c>
      <c r="Q95" s="29" t="s">
        <v>33</v>
      </c>
      <c r="R95" s="29" t="s">
        <v>34</v>
      </c>
      <c r="S95" s="29" t="s">
        <v>586</v>
      </c>
    </row>
    <row r="96" spans="1:19" ht="42" customHeight="1">
      <c r="A96" s="24">
        <v>95</v>
      </c>
      <c r="B96" s="29" t="s">
        <v>587</v>
      </c>
      <c r="C96" s="29" t="s">
        <v>338</v>
      </c>
      <c r="D96" s="29" t="s">
        <v>338</v>
      </c>
      <c r="E96" s="29" t="s">
        <v>339</v>
      </c>
      <c r="F96" s="29" t="s">
        <v>534</v>
      </c>
      <c r="G96" s="29" t="s">
        <v>23</v>
      </c>
      <c r="H96" s="29" t="s">
        <v>535</v>
      </c>
      <c r="I96" s="29" t="s">
        <v>25</v>
      </c>
      <c r="J96" s="29" t="s">
        <v>529</v>
      </c>
      <c r="K96" s="29" t="s">
        <v>588</v>
      </c>
      <c r="L96" s="29" t="s">
        <v>537</v>
      </c>
      <c r="M96" s="29" t="s">
        <v>68</v>
      </c>
      <c r="N96" s="29" t="s">
        <v>30</v>
      </c>
      <c r="O96" s="29" t="s">
        <v>31</v>
      </c>
      <c r="P96" s="29" t="s">
        <v>32</v>
      </c>
      <c r="Q96" s="29" t="s">
        <v>33</v>
      </c>
      <c r="R96" s="29" t="s">
        <v>34</v>
      </c>
      <c r="S96" s="29" t="s">
        <v>589</v>
      </c>
    </row>
    <row r="97" spans="1:19" ht="42" customHeight="1">
      <c r="A97" s="24">
        <v>96</v>
      </c>
      <c r="B97" s="29" t="s">
        <v>590</v>
      </c>
      <c r="C97" s="29" t="s">
        <v>338</v>
      </c>
      <c r="D97" s="29" t="s">
        <v>338</v>
      </c>
      <c r="E97" s="29" t="s">
        <v>339</v>
      </c>
      <c r="F97" s="29" t="s">
        <v>591</v>
      </c>
      <c r="G97" s="29" t="s">
        <v>23</v>
      </c>
      <c r="H97" s="29" t="s">
        <v>535</v>
      </c>
      <c r="I97" s="29" t="s">
        <v>47</v>
      </c>
      <c r="J97" s="29" t="s">
        <v>529</v>
      </c>
      <c r="K97" s="29" t="s">
        <v>592</v>
      </c>
      <c r="L97" s="29" t="s">
        <v>537</v>
      </c>
      <c r="M97" s="29" t="s">
        <v>593</v>
      </c>
      <c r="N97" s="29" t="s">
        <v>30</v>
      </c>
      <c r="O97" s="29" t="s">
        <v>31</v>
      </c>
      <c r="P97" s="29" t="s">
        <v>32</v>
      </c>
      <c r="Q97" s="29" t="s">
        <v>33</v>
      </c>
      <c r="R97" s="29" t="s">
        <v>34</v>
      </c>
      <c r="S97" s="29" t="s">
        <v>594</v>
      </c>
    </row>
    <row r="98" spans="1:19" ht="42" customHeight="1">
      <c r="A98" s="24">
        <v>97</v>
      </c>
      <c r="B98" s="29" t="s">
        <v>595</v>
      </c>
      <c r="C98" s="29" t="s">
        <v>338</v>
      </c>
      <c r="D98" s="29" t="s">
        <v>338</v>
      </c>
      <c r="E98" s="29" t="s">
        <v>339</v>
      </c>
      <c r="F98" s="29" t="s">
        <v>521</v>
      </c>
      <c r="G98" s="29" t="s">
        <v>23</v>
      </c>
      <c r="H98" s="29" t="s">
        <v>522</v>
      </c>
      <c r="I98" s="29" t="s">
        <v>25</v>
      </c>
      <c r="J98" s="29" t="s">
        <v>39</v>
      </c>
      <c r="K98" s="29" t="s">
        <v>596</v>
      </c>
      <c r="L98" s="29" t="s">
        <v>524</v>
      </c>
      <c r="M98" s="29" t="s">
        <v>68</v>
      </c>
      <c r="N98" s="29" t="s">
        <v>30</v>
      </c>
      <c r="O98" s="29" t="s">
        <v>31</v>
      </c>
      <c r="P98" s="29" t="s">
        <v>32</v>
      </c>
      <c r="Q98" s="29" t="s">
        <v>33</v>
      </c>
      <c r="R98" s="29" t="s">
        <v>34</v>
      </c>
      <c r="S98" s="29" t="s">
        <v>597</v>
      </c>
    </row>
    <row r="99" spans="1:19" ht="42" customHeight="1">
      <c r="A99" s="24">
        <v>98</v>
      </c>
      <c r="B99" s="29" t="s">
        <v>598</v>
      </c>
      <c r="C99" s="29" t="s">
        <v>338</v>
      </c>
      <c r="D99" s="29" t="s">
        <v>338</v>
      </c>
      <c r="E99" s="29" t="s">
        <v>339</v>
      </c>
      <c r="F99" s="29" t="s">
        <v>599</v>
      </c>
      <c r="G99" s="29" t="s">
        <v>23</v>
      </c>
      <c r="H99" s="29" t="s">
        <v>522</v>
      </c>
      <c r="I99" s="29" t="s">
        <v>56</v>
      </c>
      <c r="J99" s="29" t="s">
        <v>39</v>
      </c>
      <c r="K99" s="29" t="s">
        <v>600</v>
      </c>
      <c r="L99" s="29" t="s">
        <v>524</v>
      </c>
      <c r="M99" s="29" t="s">
        <v>601</v>
      </c>
      <c r="N99" s="29" t="s">
        <v>30</v>
      </c>
      <c r="O99" s="29" t="s">
        <v>31</v>
      </c>
      <c r="P99" s="29" t="s">
        <v>32</v>
      </c>
      <c r="Q99" s="29" t="s">
        <v>33</v>
      </c>
      <c r="R99" s="29" t="s">
        <v>34</v>
      </c>
      <c r="S99" s="29" t="s">
        <v>602</v>
      </c>
    </row>
    <row r="100" spans="1:19" ht="42" customHeight="1">
      <c r="A100" s="24">
        <v>99</v>
      </c>
      <c r="B100" s="29" t="s">
        <v>603</v>
      </c>
      <c r="C100" s="29" t="s">
        <v>338</v>
      </c>
      <c r="D100" s="29" t="s">
        <v>338</v>
      </c>
      <c r="E100" s="29" t="s">
        <v>339</v>
      </c>
      <c r="F100" s="29" t="s">
        <v>604</v>
      </c>
      <c r="G100" s="29" t="s">
        <v>23</v>
      </c>
      <c r="H100" s="29" t="s">
        <v>487</v>
      </c>
      <c r="I100" s="29" t="s">
        <v>25</v>
      </c>
      <c r="J100" s="29" t="s">
        <v>605</v>
      </c>
      <c r="K100" s="29" t="s">
        <v>606</v>
      </c>
      <c r="L100" s="29" t="s">
        <v>490</v>
      </c>
      <c r="M100" s="29" t="s">
        <v>607</v>
      </c>
      <c r="N100" s="29" t="s">
        <v>30</v>
      </c>
      <c r="O100" s="29" t="s">
        <v>31</v>
      </c>
      <c r="P100" s="29" t="s">
        <v>32</v>
      </c>
      <c r="Q100" s="29" t="s">
        <v>33</v>
      </c>
      <c r="R100" s="29" t="s">
        <v>34</v>
      </c>
      <c r="S100" s="29" t="s">
        <v>608</v>
      </c>
    </row>
    <row r="101" spans="1:19" ht="42" customHeight="1">
      <c r="A101" s="24">
        <v>100</v>
      </c>
      <c r="B101" s="29" t="s">
        <v>609</v>
      </c>
      <c r="C101" s="29" t="s">
        <v>338</v>
      </c>
      <c r="D101" s="29" t="s">
        <v>338</v>
      </c>
      <c r="E101" s="29" t="s">
        <v>339</v>
      </c>
      <c r="F101" s="29" t="s">
        <v>610</v>
      </c>
      <c r="G101" s="29" t="s">
        <v>45</v>
      </c>
      <c r="H101" s="29" t="s">
        <v>611</v>
      </c>
      <c r="I101" s="29" t="s">
        <v>93</v>
      </c>
      <c r="J101" s="29" t="s">
        <v>94</v>
      </c>
      <c r="K101" s="29" t="s">
        <v>612</v>
      </c>
      <c r="L101" s="29" t="s">
        <v>613</v>
      </c>
      <c r="M101" s="29" t="s">
        <v>97</v>
      </c>
      <c r="N101" s="29" t="s">
        <v>30</v>
      </c>
      <c r="O101" s="29" t="s">
        <v>31</v>
      </c>
      <c r="P101" s="29" t="s">
        <v>32</v>
      </c>
      <c r="Q101" s="29" t="s">
        <v>33</v>
      </c>
      <c r="R101" s="29" t="s">
        <v>34</v>
      </c>
      <c r="S101" s="29" t="s">
        <v>614</v>
      </c>
    </row>
    <row r="102" spans="1:19" ht="42" customHeight="1">
      <c r="A102" s="24">
        <v>101</v>
      </c>
      <c r="B102" s="29" t="s">
        <v>615</v>
      </c>
      <c r="C102" s="29" t="s">
        <v>338</v>
      </c>
      <c r="D102" s="29" t="s">
        <v>338</v>
      </c>
      <c r="E102" s="29" t="s">
        <v>339</v>
      </c>
      <c r="F102" s="29" t="s">
        <v>616</v>
      </c>
      <c r="G102" s="29" t="s">
        <v>45</v>
      </c>
      <c r="H102" s="29" t="s">
        <v>617</v>
      </c>
      <c r="I102" s="29" t="s">
        <v>93</v>
      </c>
      <c r="J102" s="29" t="s">
        <v>94</v>
      </c>
      <c r="K102" s="29" t="s">
        <v>618</v>
      </c>
      <c r="L102" s="29" t="s">
        <v>619</v>
      </c>
      <c r="M102" s="29" t="s">
        <v>97</v>
      </c>
      <c r="N102" s="29" t="s">
        <v>30</v>
      </c>
      <c r="O102" s="29" t="s">
        <v>31</v>
      </c>
      <c r="P102" s="29" t="s">
        <v>32</v>
      </c>
      <c r="Q102" s="29" t="s">
        <v>33</v>
      </c>
      <c r="R102" s="29" t="s">
        <v>34</v>
      </c>
      <c r="S102" s="29" t="s">
        <v>620</v>
      </c>
    </row>
    <row r="103" spans="1:19" ht="42" customHeight="1">
      <c r="A103" s="24">
        <v>102</v>
      </c>
      <c r="B103" s="29" t="s">
        <v>621</v>
      </c>
      <c r="C103" s="29" t="s">
        <v>338</v>
      </c>
      <c r="D103" s="29" t="s">
        <v>338</v>
      </c>
      <c r="E103" s="29" t="s">
        <v>339</v>
      </c>
      <c r="F103" s="29" t="s">
        <v>622</v>
      </c>
      <c r="G103" s="29" t="s">
        <v>45</v>
      </c>
      <c r="H103" s="29" t="s">
        <v>507</v>
      </c>
      <c r="I103" s="29" t="s">
        <v>93</v>
      </c>
      <c r="J103" s="29" t="s">
        <v>94</v>
      </c>
      <c r="K103" s="29" t="s">
        <v>623</v>
      </c>
      <c r="L103" s="29" t="s">
        <v>624</v>
      </c>
      <c r="M103" s="29" t="s">
        <v>97</v>
      </c>
      <c r="N103" s="29" t="s">
        <v>30</v>
      </c>
      <c r="O103" s="29" t="s">
        <v>31</v>
      </c>
      <c r="P103" s="29" t="s">
        <v>32</v>
      </c>
      <c r="Q103" s="29" t="s">
        <v>33</v>
      </c>
      <c r="R103" s="29" t="s">
        <v>34</v>
      </c>
      <c r="S103" s="29" t="s">
        <v>625</v>
      </c>
    </row>
    <row r="104" spans="1:19" ht="42" customHeight="1">
      <c r="A104" s="24">
        <v>103</v>
      </c>
      <c r="B104" s="29" t="s">
        <v>626</v>
      </c>
      <c r="C104" s="29" t="s">
        <v>338</v>
      </c>
      <c r="D104" s="29" t="s">
        <v>338</v>
      </c>
      <c r="E104" s="29" t="s">
        <v>339</v>
      </c>
      <c r="F104" s="29" t="s">
        <v>627</v>
      </c>
      <c r="G104" s="29" t="s">
        <v>45</v>
      </c>
      <c r="H104" s="29" t="s">
        <v>628</v>
      </c>
      <c r="I104" s="29" t="s">
        <v>93</v>
      </c>
      <c r="J104" s="29" t="s">
        <v>94</v>
      </c>
      <c r="K104" s="29" t="s">
        <v>629</v>
      </c>
      <c r="L104" s="29" t="s">
        <v>630</v>
      </c>
      <c r="M104" s="29" t="s">
        <v>97</v>
      </c>
      <c r="N104" s="29" t="s">
        <v>30</v>
      </c>
      <c r="O104" s="29" t="s">
        <v>31</v>
      </c>
      <c r="P104" s="29" t="s">
        <v>32</v>
      </c>
      <c r="Q104" s="29" t="s">
        <v>33</v>
      </c>
      <c r="R104" s="29" t="s">
        <v>34</v>
      </c>
      <c r="S104" s="29" t="s">
        <v>631</v>
      </c>
    </row>
    <row r="105" spans="1:19" ht="42" customHeight="1">
      <c r="A105" s="24">
        <v>104</v>
      </c>
      <c r="B105" s="29" t="s">
        <v>632</v>
      </c>
      <c r="C105" s="29" t="s">
        <v>338</v>
      </c>
      <c r="D105" s="29" t="s">
        <v>338</v>
      </c>
      <c r="E105" s="29" t="s">
        <v>339</v>
      </c>
      <c r="F105" s="29" t="s">
        <v>633</v>
      </c>
      <c r="G105" s="29" t="s">
        <v>45</v>
      </c>
      <c r="H105" s="29" t="s">
        <v>528</v>
      </c>
      <c r="I105" s="29" t="s">
        <v>93</v>
      </c>
      <c r="J105" s="29" t="s">
        <v>94</v>
      </c>
      <c r="K105" s="29" t="s">
        <v>634</v>
      </c>
      <c r="L105" s="29" t="s">
        <v>635</v>
      </c>
      <c r="M105" s="29" t="s">
        <v>97</v>
      </c>
      <c r="N105" s="29" t="s">
        <v>30</v>
      </c>
      <c r="O105" s="29" t="s">
        <v>31</v>
      </c>
      <c r="P105" s="29" t="s">
        <v>32</v>
      </c>
      <c r="Q105" s="29" t="s">
        <v>33</v>
      </c>
      <c r="R105" s="29" t="s">
        <v>34</v>
      </c>
      <c r="S105" s="29" t="s">
        <v>636</v>
      </c>
    </row>
    <row r="106" spans="1:19" ht="42" customHeight="1">
      <c r="A106" s="24">
        <v>105</v>
      </c>
      <c r="B106" s="29" t="s">
        <v>637</v>
      </c>
      <c r="C106" s="29" t="s">
        <v>338</v>
      </c>
      <c r="D106" s="29" t="s">
        <v>338</v>
      </c>
      <c r="E106" s="29" t="s">
        <v>339</v>
      </c>
      <c r="F106" s="29" t="s">
        <v>638</v>
      </c>
      <c r="G106" s="29" t="s">
        <v>45</v>
      </c>
      <c r="H106" s="29" t="s">
        <v>535</v>
      </c>
      <c r="I106" s="29" t="s">
        <v>93</v>
      </c>
      <c r="J106" s="29" t="s">
        <v>94</v>
      </c>
      <c r="K106" s="29" t="s">
        <v>639</v>
      </c>
      <c r="L106" s="29" t="s">
        <v>640</v>
      </c>
      <c r="M106" s="29" t="s">
        <v>97</v>
      </c>
      <c r="N106" s="29" t="s">
        <v>30</v>
      </c>
      <c r="O106" s="29" t="s">
        <v>31</v>
      </c>
      <c r="P106" s="29" t="s">
        <v>32</v>
      </c>
      <c r="Q106" s="29" t="s">
        <v>33</v>
      </c>
      <c r="R106" s="29" t="s">
        <v>34</v>
      </c>
      <c r="S106" s="29" t="s">
        <v>641</v>
      </c>
    </row>
    <row r="107" spans="1:19" ht="42" customHeight="1">
      <c r="A107" s="24">
        <v>106</v>
      </c>
      <c r="B107" s="29" t="s">
        <v>642</v>
      </c>
      <c r="C107" s="29" t="s">
        <v>338</v>
      </c>
      <c r="D107" s="29" t="s">
        <v>338</v>
      </c>
      <c r="E107" s="29" t="s">
        <v>339</v>
      </c>
      <c r="F107" s="29" t="s">
        <v>643</v>
      </c>
      <c r="G107" s="29" t="s">
        <v>45</v>
      </c>
      <c r="H107" s="29" t="s">
        <v>522</v>
      </c>
      <c r="I107" s="29" t="s">
        <v>93</v>
      </c>
      <c r="J107" s="29" t="s">
        <v>94</v>
      </c>
      <c r="K107" s="29" t="s">
        <v>644</v>
      </c>
      <c r="L107" s="29" t="s">
        <v>645</v>
      </c>
      <c r="M107" s="29" t="s">
        <v>97</v>
      </c>
      <c r="N107" s="29" t="s">
        <v>30</v>
      </c>
      <c r="O107" s="29" t="s">
        <v>31</v>
      </c>
      <c r="P107" s="29" t="s">
        <v>32</v>
      </c>
      <c r="Q107" s="29" t="s">
        <v>33</v>
      </c>
      <c r="R107" s="29" t="s">
        <v>34</v>
      </c>
      <c r="S107" s="29" t="s">
        <v>646</v>
      </c>
    </row>
    <row r="108" spans="1:19" ht="42" customHeight="1">
      <c r="A108" s="24">
        <v>107</v>
      </c>
      <c r="B108" s="29" t="s">
        <v>647</v>
      </c>
      <c r="C108" s="29" t="s">
        <v>338</v>
      </c>
      <c r="D108" s="29" t="s">
        <v>338</v>
      </c>
      <c r="E108" s="29" t="s">
        <v>648</v>
      </c>
      <c r="F108" s="29" t="s">
        <v>649</v>
      </c>
      <c r="G108" s="29" t="s">
        <v>45</v>
      </c>
      <c r="H108" s="29" t="s">
        <v>650</v>
      </c>
      <c r="I108" s="29" t="s">
        <v>25</v>
      </c>
      <c r="J108" s="29" t="s">
        <v>651</v>
      </c>
      <c r="K108" s="29" t="s">
        <v>652</v>
      </c>
      <c r="L108" s="29" t="s">
        <v>653</v>
      </c>
      <c r="M108" s="29" t="s">
        <v>654</v>
      </c>
      <c r="N108" s="29" t="s">
        <v>30</v>
      </c>
      <c r="O108" s="29" t="s">
        <v>31</v>
      </c>
      <c r="P108" s="29" t="s">
        <v>32</v>
      </c>
      <c r="Q108" s="29" t="s">
        <v>33</v>
      </c>
      <c r="R108" s="29" t="s">
        <v>34</v>
      </c>
      <c r="S108" s="29" t="s">
        <v>655</v>
      </c>
    </row>
    <row r="109" spans="1:19" ht="42" customHeight="1">
      <c r="A109" s="24">
        <v>108</v>
      </c>
      <c r="B109" s="29" t="s">
        <v>656</v>
      </c>
      <c r="C109" s="29" t="s">
        <v>338</v>
      </c>
      <c r="D109" s="29" t="s">
        <v>338</v>
      </c>
      <c r="E109" s="29" t="s">
        <v>648</v>
      </c>
      <c r="F109" s="29" t="s">
        <v>657</v>
      </c>
      <c r="G109" s="29" t="s">
        <v>23</v>
      </c>
      <c r="H109" s="29" t="s">
        <v>658</v>
      </c>
      <c r="I109" s="29" t="s">
        <v>25</v>
      </c>
      <c r="J109" s="29" t="s">
        <v>659</v>
      </c>
      <c r="K109" s="29" t="s">
        <v>39</v>
      </c>
      <c r="L109" s="29" t="s">
        <v>660</v>
      </c>
      <c r="M109" s="29" t="s">
        <v>220</v>
      </c>
      <c r="N109" s="29" t="s">
        <v>30</v>
      </c>
      <c r="O109" s="29" t="s">
        <v>31</v>
      </c>
      <c r="P109" s="29" t="s">
        <v>32</v>
      </c>
      <c r="Q109" s="29" t="s">
        <v>33</v>
      </c>
      <c r="R109" s="29" t="s">
        <v>34</v>
      </c>
      <c r="S109" s="29" t="s">
        <v>661</v>
      </c>
    </row>
    <row r="110" spans="1:19" ht="42" customHeight="1">
      <c r="A110" s="24">
        <v>109</v>
      </c>
      <c r="B110" s="29" t="s">
        <v>662</v>
      </c>
      <c r="C110" s="29" t="s">
        <v>338</v>
      </c>
      <c r="D110" s="29" t="s">
        <v>338</v>
      </c>
      <c r="E110" s="29" t="s">
        <v>648</v>
      </c>
      <c r="F110" s="29" t="s">
        <v>663</v>
      </c>
      <c r="G110" s="29" t="s">
        <v>45</v>
      </c>
      <c r="H110" s="29" t="s">
        <v>664</v>
      </c>
      <c r="I110" s="29" t="s">
        <v>47</v>
      </c>
      <c r="J110" s="29" t="s">
        <v>665</v>
      </c>
      <c r="K110" s="29" t="s">
        <v>666</v>
      </c>
      <c r="L110" s="29" t="s">
        <v>667</v>
      </c>
      <c r="M110" s="29" t="s">
        <v>668</v>
      </c>
      <c r="N110" s="29" t="s">
        <v>30</v>
      </c>
      <c r="O110" s="29" t="s">
        <v>31</v>
      </c>
      <c r="P110" s="29" t="s">
        <v>32</v>
      </c>
      <c r="Q110" s="29" t="s">
        <v>33</v>
      </c>
      <c r="R110" s="29" t="s">
        <v>34</v>
      </c>
      <c r="S110" s="29" t="s">
        <v>669</v>
      </c>
    </row>
    <row r="111" spans="1:19" ht="42" customHeight="1">
      <c r="A111" s="24">
        <v>110</v>
      </c>
      <c r="B111" s="29" t="s">
        <v>670</v>
      </c>
      <c r="C111" s="29" t="s">
        <v>338</v>
      </c>
      <c r="D111" s="29" t="s">
        <v>338</v>
      </c>
      <c r="E111" s="29" t="s">
        <v>648</v>
      </c>
      <c r="F111" s="29" t="s">
        <v>671</v>
      </c>
      <c r="G111" s="29" t="s">
        <v>45</v>
      </c>
      <c r="H111" s="29" t="s">
        <v>672</v>
      </c>
      <c r="I111" s="29" t="s">
        <v>56</v>
      </c>
      <c r="J111" s="29" t="s">
        <v>665</v>
      </c>
      <c r="K111" s="29" t="s">
        <v>673</v>
      </c>
      <c r="L111" s="29" t="s">
        <v>674</v>
      </c>
      <c r="M111" s="29" t="s">
        <v>675</v>
      </c>
      <c r="N111" s="29" t="s">
        <v>30</v>
      </c>
      <c r="O111" s="29" t="s">
        <v>31</v>
      </c>
      <c r="P111" s="29" t="s">
        <v>32</v>
      </c>
      <c r="Q111" s="29" t="s">
        <v>33</v>
      </c>
      <c r="R111" s="29" t="s">
        <v>34</v>
      </c>
      <c r="S111" s="29" t="s">
        <v>676</v>
      </c>
    </row>
    <row r="112" spans="1:19" ht="42" customHeight="1">
      <c r="A112" s="24">
        <v>111</v>
      </c>
      <c r="B112" s="29" t="s">
        <v>677</v>
      </c>
      <c r="C112" s="29" t="s">
        <v>338</v>
      </c>
      <c r="D112" s="29" t="s">
        <v>338</v>
      </c>
      <c r="E112" s="29" t="s">
        <v>648</v>
      </c>
      <c r="F112" s="29" t="s">
        <v>678</v>
      </c>
      <c r="G112" s="29" t="s">
        <v>23</v>
      </c>
      <c r="H112" s="29" t="s">
        <v>679</v>
      </c>
      <c r="I112" s="29" t="s">
        <v>25</v>
      </c>
      <c r="J112" s="29" t="s">
        <v>680</v>
      </c>
      <c r="K112" s="29" t="s">
        <v>681</v>
      </c>
      <c r="L112" s="29" t="s">
        <v>682</v>
      </c>
      <c r="M112" s="29" t="s">
        <v>683</v>
      </c>
      <c r="N112" s="29" t="s">
        <v>30</v>
      </c>
      <c r="O112" s="29" t="s">
        <v>31</v>
      </c>
      <c r="P112" s="29" t="s">
        <v>32</v>
      </c>
      <c r="Q112" s="29" t="s">
        <v>33</v>
      </c>
      <c r="R112" s="29" t="s">
        <v>34</v>
      </c>
      <c r="S112" s="29" t="s">
        <v>684</v>
      </c>
    </row>
    <row r="113" spans="1:19" ht="42" customHeight="1">
      <c r="A113" s="24">
        <v>112</v>
      </c>
      <c r="B113" s="29" t="s">
        <v>685</v>
      </c>
      <c r="C113" s="29" t="s">
        <v>338</v>
      </c>
      <c r="D113" s="29" t="s">
        <v>338</v>
      </c>
      <c r="E113" s="29" t="s">
        <v>648</v>
      </c>
      <c r="F113" s="29" t="s">
        <v>686</v>
      </c>
      <c r="G113" s="29" t="s">
        <v>45</v>
      </c>
      <c r="H113" s="29" t="s">
        <v>650</v>
      </c>
      <c r="I113" s="29" t="s">
        <v>47</v>
      </c>
      <c r="J113" s="29" t="s">
        <v>687</v>
      </c>
      <c r="K113" s="29" t="s">
        <v>688</v>
      </c>
      <c r="L113" s="29" t="s">
        <v>653</v>
      </c>
      <c r="M113" s="29" t="s">
        <v>689</v>
      </c>
      <c r="N113" s="29" t="s">
        <v>30</v>
      </c>
      <c r="O113" s="29" t="s">
        <v>31</v>
      </c>
      <c r="P113" s="29" t="s">
        <v>32</v>
      </c>
      <c r="Q113" s="29" t="s">
        <v>33</v>
      </c>
      <c r="R113" s="29" t="s">
        <v>34</v>
      </c>
      <c r="S113" s="29" t="s">
        <v>690</v>
      </c>
    </row>
    <row r="114" spans="1:19" ht="42" customHeight="1">
      <c r="A114" s="24">
        <v>113</v>
      </c>
      <c r="B114" s="29" t="s">
        <v>691</v>
      </c>
      <c r="C114" s="29" t="s">
        <v>338</v>
      </c>
      <c r="D114" s="29" t="s">
        <v>338</v>
      </c>
      <c r="E114" s="29" t="s">
        <v>648</v>
      </c>
      <c r="F114" s="29" t="s">
        <v>692</v>
      </c>
      <c r="G114" s="29" t="s">
        <v>45</v>
      </c>
      <c r="H114" s="29" t="s">
        <v>672</v>
      </c>
      <c r="I114" s="29" t="s">
        <v>56</v>
      </c>
      <c r="J114" s="29" t="s">
        <v>680</v>
      </c>
      <c r="K114" s="29" t="s">
        <v>693</v>
      </c>
      <c r="L114" s="29" t="s">
        <v>674</v>
      </c>
      <c r="M114" s="29" t="s">
        <v>694</v>
      </c>
      <c r="N114" s="29" t="s">
        <v>30</v>
      </c>
      <c r="O114" s="29" t="s">
        <v>31</v>
      </c>
      <c r="P114" s="29" t="s">
        <v>32</v>
      </c>
      <c r="Q114" s="29" t="s">
        <v>33</v>
      </c>
      <c r="R114" s="29" t="s">
        <v>34</v>
      </c>
      <c r="S114" s="29" t="s">
        <v>695</v>
      </c>
    </row>
    <row r="115" spans="1:19" ht="42" customHeight="1">
      <c r="A115" s="24">
        <v>114</v>
      </c>
      <c r="B115" s="29" t="s">
        <v>696</v>
      </c>
      <c r="C115" s="29" t="s">
        <v>338</v>
      </c>
      <c r="D115" s="29" t="s">
        <v>338</v>
      </c>
      <c r="E115" s="29" t="s">
        <v>648</v>
      </c>
      <c r="F115" s="29" t="s">
        <v>697</v>
      </c>
      <c r="G115" s="29" t="s">
        <v>23</v>
      </c>
      <c r="H115" s="29" t="s">
        <v>679</v>
      </c>
      <c r="I115" s="29" t="s">
        <v>47</v>
      </c>
      <c r="J115" s="29" t="s">
        <v>680</v>
      </c>
      <c r="K115" s="29" t="s">
        <v>698</v>
      </c>
      <c r="L115" s="29" t="s">
        <v>682</v>
      </c>
      <c r="M115" s="29" t="s">
        <v>699</v>
      </c>
      <c r="N115" s="29" t="s">
        <v>30</v>
      </c>
      <c r="O115" s="29" t="s">
        <v>31</v>
      </c>
      <c r="P115" s="29" t="s">
        <v>32</v>
      </c>
      <c r="Q115" s="29" t="s">
        <v>33</v>
      </c>
      <c r="R115" s="29" t="s">
        <v>34</v>
      </c>
      <c r="S115" s="29" t="s">
        <v>700</v>
      </c>
    </row>
    <row r="116" spans="1:19" ht="42" customHeight="1">
      <c r="A116" s="24">
        <v>115</v>
      </c>
      <c r="B116" s="29" t="s">
        <v>701</v>
      </c>
      <c r="C116" s="29" t="s">
        <v>338</v>
      </c>
      <c r="D116" s="29" t="s">
        <v>338</v>
      </c>
      <c r="E116" s="29" t="s">
        <v>648</v>
      </c>
      <c r="F116" s="29" t="s">
        <v>702</v>
      </c>
      <c r="G116" s="29" t="s">
        <v>45</v>
      </c>
      <c r="H116" s="29" t="s">
        <v>703</v>
      </c>
      <c r="I116" s="29" t="s">
        <v>47</v>
      </c>
      <c r="J116" s="29" t="s">
        <v>680</v>
      </c>
      <c r="K116" s="29" t="s">
        <v>704</v>
      </c>
      <c r="L116" s="29" t="s">
        <v>705</v>
      </c>
      <c r="M116" s="29" t="s">
        <v>706</v>
      </c>
      <c r="N116" s="29" t="s">
        <v>30</v>
      </c>
      <c r="O116" s="29" t="s">
        <v>31</v>
      </c>
      <c r="P116" s="29" t="s">
        <v>32</v>
      </c>
      <c r="Q116" s="29" t="s">
        <v>33</v>
      </c>
      <c r="R116" s="29" t="s">
        <v>34</v>
      </c>
      <c r="S116" s="29" t="s">
        <v>707</v>
      </c>
    </row>
    <row r="117" spans="1:19" ht="42" customHeight="1">
      <c r="A117" s="24">
        <v>116</v>
      </c>
      <c r="B117" s="29" t="s">
        <v>708</v>
      </c>
      <c r="C117" s="29" t="s">
        <v>338</v>
      </c>
      <c r="D117" s="29" t="s">
        <v>338</v>
      </c>
      <c r="E117" s="29" t="s">
        <v>648</v>
      </c>
      <c r="F117" s="29" t="s">
        <v>709</v>
      </c>
      <c r="G117" s="29" t="s">
        <v>45</v>
      </c>
      <c r="H117" s="29" t="s">
        <v>710</v>
      </c>
      <c r="I117" s="29" t="s">
        <v>47</v>
      </c>
      <c r="J117" s="29" t="s">
        <v>680</v>
      </c>
      <c r="K117" s="29" t="s">
        <v>711</v>
      </c>
      <c r="L117" s="29" t="s">
        <v>712</v>
      </c>
      <c r="M117" s="29" t="s">
        <v>713</v>
      </c>
      <c r="N117" s="29" t="s">
        <v>30</v>
      </c>
      <c r="O117" s="29" t="s">
        <v>31</v>
      </c>
      <c r="P117" s="29" t="s">
        <v>32</v>
      </c>
      <c r="Q117" s="29" t="s">
        <v>33</v>
      </c>
      <c r="R117" s="29" t="s">
        <v>34</v>
      </c>
      <c r="S117" s="29" t="s">
        <v>714</v>
      </c>
    </row>
    <row r="118" spans="1:19" ht="42" customHeight="1">
      <c r="A118" s="24">
        <v>117</v>
      </c>
      <c r="B118" s="29" t="s">
        <v>715</v>
      </c>
      <c r="C118" s="29" t="s">
        <v>338</v>
      </c>
      <c r="D118" s="29" t="s">
        <v>338</v>
      </c>
      <c r="E118" s="29" t="s">
        <v>648</v>
      </c>
      <c r="F118" s="29" t="s">
        <v>716</v>
      </c>
      <c r="G118" s="29" t="s">
        <v>45</v>
      </c>
      <c r="H118" s="29" t="s">
        <v>650</v>
      </c>
      <c r="I118" s="29" t="s">
        <v>38</v>
      </c>
      <c r="J118" s="29" t="s">
        <v>717</v>
      </c>
      <c r="K118" s="29" t="s">
        <v>718</v>
      </c>
      <c r="L118" s="29" t="s">
        <v>653</v>
      </c>
      <c r="M118" s="29" t="s">
        <v>719</v>
      </c>
      <c r="N118" s="29" t="s">
        <v>30</v>
      </c>
      <c r="O118" s="29" t="s">
        <v>31</v>
      </c>
      <c r="P118" s="29" t="s">
        <v>32</v>
      </c>
      <c r="Q118" s="29" t="s">
        <v>33</v>
      </c>
      <c r="R118" s="29" t="s">
        <v>34</v>
      </c>
      <c r="S118" s="29" t="s">
        <v>720</v>
      </c>
    </row>
    <row r="119" spans="1:19" ht="42" customHeight="1">
      <c r="A119" s="24">
        <v>118</v>
      </c>
      <c r="B119" s="29" t="s">
        <v>721</v>
      </c>
      <c r="C119" s="29" t="s">
        <v>338</v>
      </c>
      <c r="D119" s="29" t="s">
        <v>338</v>
      </c>
      <c r="E119" s="29" t="s">
        <v>648</v>
      </c>
      <c r="F119" s="29" t="s">
        <v>722</v>
      </c>
      <c r="G119" s="29" t="s">
        <v>45</v>
      </c>
      <c r="H119" s="29" t="s">
        <v>723</v>
      </c>
      <c r="I119" s="29" t="s">
        <v>93</v>
      </c>
      <c r="J119" s="29" t="s">
        <v>94</v>
      </c>
      <c r="K119" s="29" t="s">
        <v>724</v>
      </c>
      <c r="L119" s="29" t="s">
        <v>725</v>
      </c>
      <c r="M119" s="29" t="s">
        <v>97</v>
      </c>
      <c r="N119" s="29" t="s">
        <v>30</v>
      </c>
      <c r="O119" s="29" t="s">
        <v>31</v>
      </c>
      <c r="P119" s="29" t="s">
        <v>32</v>
      </c>
      <c r="Q119" s="29" t="s">
        <v>33</v>
      </c>
      <c r="R119" s="29" t="s">
        <v>34</v>
      </c>
      <c r="S119" s="29" t="s">
        <v>726</v>
      </c>
    </row>
    <row r="120" spans="1:19" ht="42" customHeight="1">
      <c r="A120" s="24">
        <v>119</v>
      </c>
      <c r="B120" s="29" t="s">
        <v>727</v>
      </c>
      <c r="C120" s="29" t="s">
        <v>338</v>
      </c>
      <c r="D120" s="29" t="s">
        <v>338</v>
      </c>
      <c r="E120" s="29" t="s">
        <v>648</v>
      </c>
      <c r="F120" s="29" t="s">
        <v>728</v>
      </c>
      <c r="G120" s="29" t="s">
        <v>45</v>
      </c>
      <c r="H120" s="29" t="s">
        <v>729</v>
      </c>
      <c r="I120" s="29" t="s">
        <v>93</v>
      </c>
      <c r="J120" s="29" t="s">
        <v>94</v>
      </c>
      <c r="K120" s="29" t="s">
        <v>730</v>
      </c>
      <c r="L120" s="29" t="s">
        <v>731</v>
      </c>
      <c r="M120" s="29" t="s">
        <v>97</v>
      </c>
      <c r="N120" s="29" t="s">
        <v>30</v>
      </c>
      <c r="O120" s="29" t="s">
        <v>31</v>
      </c>
      <c r="P120" s="29" t="s">
        <v>32</v>
      </c>
      <c r="Q120" s="29" t="s">
        <v>33</v>
      </c>
      <c r="R120" s="29" t="s">
        <v>34</v>
      </c>
      <c r="S120" s="29" t="s">
        <v>732</v>
      </c>
    </row>
    <row r="121" spans="1:19" ht="42" customHeight="1">
      <c r="A121" s="24">
        <v>120</v>
      </c>
      <c r="B121" s="29" t="s">
        <v>733</v>
      </c>
      <c r="C121" s="29" t="s">
        <v>338</v>
      </c>
      <c r="D121" s="29" t="s">
        <v>338</v>
      </c>
      <c r="E121" s="29" t="s">
        <v>648</v>
      </c>
      <c r="F121" s="29" t="s">
        <v>734</v>
      </c>
      <c r="G121" s="29" t="s">
        <v>45</v>
      </c>
      <c r="H121" s="29" t="s">
        <v>735</v>
      </c>
      <c r="I121" s="29" t="s">
        <v>93</v>
      </c>
      <c r="J121" s="29" t="s">
        <v>94</v>
      </c>
      <c r="K121" s="29" t="s">
        <v>736</v>
      </c>
      <c r="L121" s="29" t="s">
        <v>737</v>
      </c>
      <c r="M121" s="29" t="s">
        <v>97</v>
      </c>
      <c r="N121" s="29" t="s">
        <v>30</v>
      </c>
      <c r="O121" s="29" t="s">
        <v>31</v>
      </c>
      <c r="P121" s="29" t="s">
        <v>32</v>
      </c>
      <c r="Q121" s="29" t="s">
        <v>33</v>
      </c>
      <c r="R121" s="29" t="s">
        <v>34</v>
      </c>
      <c r="S121" s="29" t="s">
        <v>738</v>
      </c>
    </row>
    <row r="122" spans="1:19" ht="42" customHeight="1">
      <c r="A122" s="24">
        <v>121</v>
      </c>
      <c r="B122" s="29" t="s">
        <v>739</v>
      </c>
      <c r="C122" s="29" t="s">
        <v>338</v>
      </c>
      <c r="D122" s="29" t="s">
        <v>338</v>
      </c>
      <c r="E122" s="29" t="s">
        <v>648</v>
      </c>
      <c r="F122" s="29" t="s">
        <v>740</v>
      </c>
      <c r="G122" s="29" t="s">
        <v>45</v>
      </c>
      <c r="H122" s="29" t="s">
        <v>741</v>
      </c>
      <c r="I122" s="29" t="s">
        <v>93</v>
      </c>
      <c r="J122" s="29" t="s">
        <v>94</v>
      </c>
      <c r="K122" s="29" t="s">
        <v>742</v>
      </c>
      <c r="L122" s="29" t="s">
        <v>743</v>
      </c>
      <c r="M122" s="29" t="s">
        <v>97</v>
      </c>
      <c r="N122" s="29" t="s">
        <v>30</v>
      </c>
      <c r="O122" s="29" t="s">
        <v>31</v>
      </c>
      <c r="P122" s="29" t="s">
        <v>32</v>
      </c>
      <c r="Q122" s="29" t="s">
        <v>33</v>
      </c>
      <c r="R122" s="29" t="s">
        <v>34</v>
      </c>
      <c r="S122" s="29" t="s">
        <v>744</v>
      </c>
    </row>
    <row r="123" spans="1:19" ht="42" customHeight="1">
      <c r="A123" s="24">
        <v>122</v>
      </c>
      <c r="B123" s="29" t="s">
        <v>745</v>
      </c>
      <c r="C123" s="29" t="s">
        <v>338</v>
      </c>
      <c r="D123" s="29" t="s">
        <v>338</v>
      </c>
      <c r="E123" s="29" t="s">
        <v>648</v>
      </c>
      <c r="F123" s="29" t="s">
        <v>746</v>
      </c>
      <c r="G123" s="29" t="s">
        <v>45</v>
      </c>
      <c r="H123" s="29" t="s">
        <v>747</v>
      </c>
      <c r="I123" s="29" t="s">
        <v>93</v>
      </c>
      <c r="J123" s="29" t="s">
        <v>94</v>
      </c>
      <c r="K123" s="29" t="s">
        <v>748</v>
      </c>
      <c r="L123" s="29" t="s">
        <v>749</v>
      </c>
      <c r="M123" s="29" t="s">
        <v>97</v>
      </c>
      <c r="N123" s="29" t="s">
        <v>30</v>
      </c>
      <c r="O123" s="29" t="s">
        <v>31</v>
      </c>
      <c r="P123" s="29" t="s">
        <v>32</v>
      </c>
      <c r="Q123" s="29" t="s">
        <v>33</v>
      </c>
      <c r="R123" s="29" t="s">
        <v>34</v>
      </c>
      <c r="S123" s="29" t="s">
        <v>750</v>
      </c>
    </row>
    <row r="124" spans="1:19" ht="42" customHeight="1">
      <c r="A124" s="24">
        <v>123</v>
      </c>
      <c r="B124" s="29" t="s">
        <v>751</v>
      </c>
      <c r="C124" s="29" t="s">
        <v>338</v>
      </c>
      <c r="D124" s="29" t="s">
        <v>338</v>
      </c>
      <c r="E124" s="29" t="s">
        <v>648</v>
      </c>
      <c r="F124" s="29" t="s">
        <v>752</v>
      </c>
      <c r="G124" s="29" t="s">
        <v>45</v>
      </c>
      <c r="H124" s="29" t="s">
        <v>753</v>
      </c>
      <c r="I124" s="29" t="s">
        <v>93</v>
      </c>
      <c r="J124" s="29" t="s">
        <v>94</v>
      </c>
      <c r="K124" s="29" t="s">
        <v>742</v>
      </c>
      <c r="L124" s="29" t="s">
        <v>754</v>
      </c>
      <c r="M124" s="29" t="s">
        <v>97</v>
      </c>
      <c r="N124" s="29" t="s">
        <v>30</v>
      </c>
      <c r="O124" s="29" t="s">
        <v>31</v>
      </c>
      <c r="P124" s="29" t="s">
        <v>32</v>
      </c>
      <c r="Q124" s="29" t="s">
        <v>33</v>
      </c>
      <c r="R124" s="29" t="s">
        <v>34</v>
      </c>
      <c r="S124" s="29" t="s">
        <v>755</v>
      </c>
    </row>
    <row r="125" spans="1:19" ht="42" customHeight="1">
      <c r="A125" s="24">
        <v>124</v>
      </c>
      <c r="B125" s="29" t="s">
        <v>756</v>
      </c>
      <c r="C125" s="29" t="s">
        <v>338</v>
      </c>
      <c r="D125" s="29" t="s">
        <v>338</v>
      </c>
      <c r="E125" s="29" t="s">
        <v>648</v>
      </c>
      <c r="F125" s="29" t="s">
        <v>757</v>
      </c>
      <c r="G125" s="29" t="s">
        <v>45</v>
      </c>
      <c r="H125" s="29" t="s">
        <v>758</v>
      </c>
      <c r="I125" s="29" t="s">
        <v>93</v>
      </c>
      <c r="J125" s="29" t="s">
        <v>94</v>
      </c>
      <c r="K125" s="29" t="s">
        <v>742</v>
      </c>
      <c r="L125" s="29" t="s">
        <v>759</v>
      </c>
      <c r="M125" s="29" t="s">
        <v>97</v>
      </c>
      <c r="N125" s="29" t="s">
        <v>30</v>
      </c>
      <c r="O125" s="29" t="s">
        <v>31</v>
      </c>
      <c r="P125" s="29" t="s">
        <v>32</v>
      </c>
      <c r="Q125" s="29" t="s">
        <v>33</v>
      </c>
      <c r="R125" s="29" t="s">
        <v>34</v>
      </c>
      <c r="S125" s="29" t="s">
        <v>760</v>
      </c>
    </row>
    <row r="126" spans="1:19" ht="42" customHeight="1">
      <c r="A126" s="24">
        <v>125</v>
      </c>
      <c r="B126" s="29" t="s">
        <v>761</v>
      </c>
      <c r="C126" s="29" t="s">
        <v>338</v>
      </c>
      <c r="D126" s="29" t="s">
        <v>338</v>
      </c>
      <c r="E126" s="29" t="s">
        <v>762</v>
      </c>
      <c r="F126" s="29" t="s">
        <v>763</v>
      </c>
      <c r="G126" s="29" t="s">
        <v>23</v>
      </c>
      <c r="H126" s="29" t="s">
        <v>764</v>
      </c>
      <c r="I126" s="29" t="s">
        <v>93</v>
      </c>
      <c r="J126" s="29" t="s">
        <v>94</v>
      </c>
      <c r="K126" s="29" t="s">
        <v>765</v>
      </c>
      <c r="L126" s="29" t="s">
        <v>766</v>
      </c>
      <c r="M126" s="29" t="s">
        <v>97</v>
      </c>
      <c r="N126" s="29" t="s">
        <v>30</v>
      </c>
      <c r="O126" s="29" t="s">
        <v>31</v>
      </c>
      <c r="P126" s="29" t="s">
        <v>32</v>
      </c>
      <c r="Q126" s="29" t="s">
        <v>33</v>
      </c>
      <c r="R126" s="29" t="s">
        <v>34</v>
      </c>
      <c r="S126" s="29" t="s">
        <v>767</v>
      </c>
    </row>
    <row r="127" spans="1:19" ht="42" customHeight="1">
      <c r="A127" s="24">
        <v>126</v>
      </c>
      <c r="B127" s="29" t="s">
        <v>768</v>
      </c>
      <c r="C127" s="29" t="s">
        <v>338</v>
      </c>
      <c r="D127" s="29" t="s">
        <v>338</v>
      </c>
      <c r="E127" s="29" t="s">
        <v>762</v>
      </c>
      <c r="F127" s="29" t="s">
        <v>769</v>
      </c>
      <c r="G127" s="29" t="s">
        <v>23</v>
      </c>
      <c r="H127" s="29" t="s">
        <v>770</v>
      </c>
      <c r="I127" s="29" t="s">
        <v>93</v>
      </c>
      <c r="J127" s="29" t="s">
        <v>94</v>
      </c>
      <c r="K127" s="29" t="s">
        <v>771</v>
      </c>
      <c r="L127" s="29" t="s">
        <v>772</v>
      </c>
      <c r="M127" s="29" t="s">
        <v>97</v>
      </c>
      <c r="N127" s="29" t="s">
        <v>30</v>
      </c>
      <c r="O127" s="29" t="s">
        <v>31</v>
      </c>
      <c r="P127" s="29" t="s">
        <v>32</v>
      </c>
      <c r="Q127" s="29" t="s">
        <v>33</v>
      </c>
      <c r="R127" s="29" t="s">
        <v>34</v>
      </c>
      <c r="S127" s="29" t="s">
        <v>773</v>
      </c>
    </row>
    <row r="128" spans="1:19" ht="42" customHeight="1">
      <c r="A128" s="24">
        <v>127</v>
      </c>
      <c r="B128" s="29" t="s">
        <v>774</v>
      </c>
      <c r="C128" s="29" t="s">
        <v>338</v>
      </c>
      <c r="D128" s="29" t="s">
        <v>338</v>
      </c>
      <c r="E128" s="29" t="s">
        <v>762</v>
      </c>
      <c r="F128" s="29" t="s">
        <v>775</v>
      </c>
      <c r="G128" s="29" t="s">
        <v>23</v>
      </c>
      <c r="H128" s="29" t="s">
        <v>776</v>
      </c>
      <c r="I128" s="29" t="s">
        <v>93</v>
      </c>
      <c r="J128" s="29" t="s">
        <v>94</v>
      </c>
      <c r="K128" s="29" t="s">
        <v>771</v>
      </c>
      <c r="L128" s="29" t="s">
        <v>777</v>
      </c>
      <c r="M128" s="29" t="s">
        <v>97</v>
      </c>
      <c r="N128" s="29" t="s">
        <v>30</v>
      </c>
      <c r="O128" s="29" t="s">
        <v>31</v>
      </c>
      <c r="P128" s="29" t="s">
        <v>32</v>
      </c>
      <c r="Q128" s="29" t="s">
        <v>33</v>
      </c>
      <c r="R128" s="29" t="s">
        <v>34</v>
      </c>
      <c r="S128" s="29" t="s">
        <v>778</v>
      </c>
    </row>
    <row r="129" spans="1:19" ht="42" customHeight="1">
      <c r="A129" s="24">
        <v>128</v>
      </c>
      <c r="B129" s="29" t="s">
        <v>779</v>
      </c>
      <c r="C129" s="29" t="s">
        <v>338</v>
      </c>
      <c r="D129" s="29" t="s">
        <v>338</v>
      </c>
      <c r="E129" s="29" t="s">
        <v>762</v>
      </c>
      <c r="F129" s="29" t="s">
        <v>780</v>
      </c>
      <c r="G129" s="29" t="s">
        <v>23</v>
      </c>
      <c r="H129" s="29" t="s">
        <v>781</v>
      </c>
      <c r="I129" s="29" t="s">
        <v>93</v>
      </c>
      <c r="J129" s="29" t="s">
        <v>94</v>
      </c>
      <c r="K129" s="29" t="s">
        <v>782</v>
      </c>
      <c r="L129" s="29" t="s">
        <v>783</v>
      </c>
      <c r="M129" s="29" t="s">
        <v>97</v>
      </c>
      <c r="N129" s="29" t="s">
        <v>30</v>
      </c>
      <c r="O129" s="29" t="s">
        <v>31</v>
      </c>
      <c r="P129" s="29" t="s">
        <v>32</v>
      </c>
      <c r="Q129" s="29" t="s">
        <v>33</v>
      </c>
      <c r="R129" s="29" t="s">
        <v>34</v>
      </c>
      <c r="S129" s="29" t="s">
        <v>784</v>
      </c>
    </row>
    <row r="130" spans="1:19" ht="42" customHeight="1">
      <c r="A130" s="24">
        <v>129</v>
      </c>
      <c r="B130" s="29" t="s">
        <v>785</v>
      </c>
      <c r="C130" s="29" t="s">
        <v>338</v>
      </c>
      <c r="D130" s="29" t="s">
        <v>338</v>
      </c>
      <c r="E130" s="29" t="s">
        <v>762</v>
      </c>
      <c r="F130" s="29" t="s">
        <v>786</v>
      </c>
      <c r="G130" s="29" t="s">
        <v>23</v>
      </c>
      <c r="H130" s="29" t="s">
        <v>787</v>
      </c>
      <c r="I130" s="29" t="s">
        <v>93</v>
      </c>
      <c r="J130" s="29" t="s">
        <v>94</v>
      </c>
      <c r="K130" s="29" t="s">
        <v>788</v>
      </c>
      <c r="L130" s="29" t="s">
        <v>789</v>
      </c>
      <c r="M130" s="29" t="s">
        <v>97</v>
      </c>
      <c r="N130" s="29" t="s">
        <v>30</v>
      </c>
      <c r="O130" s="29" t="s">
        <v>31</v>
      </c>
      <c r="P130" s="29" t="s">
        <v>32</v>
      </c>
      <c r="Q130" s="29" t="s">
        <v>33</v>
      </c>
      <c r="R130" s="29" t="s">
        <v>34</v>
      </c>
      <c r="S130" s="29" t="s">
        <v>790</v>
      </c>
    </row>
  </sheetData>
  <autoFilter ref="A1:S130"/>
  <dataValidations count="1">
    <dataValidation type="list" allowBlank="1" showErrorMessage="1" errorTitle="Invalid status" error="Use PASS, FAIL, BLOCKED or NOT RUN." sqref="O2:O130">
      <formula1>"PASS,FAIL,BLOCKED,NOT RUN"</formula1>
    </dataValidation>
  </dataValidations>
  <pageMargins left="0.3" right="0.3" top="0.5" bottom="0.5" header="0.2" footer="0.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showGridLines="0" zoomScale="58" workbookViewId="0">
      <pane ySplit="1" topLeftCell="A2" activePane="bottomLeft" state="frozen"/>
      <selection pane="bottomLeft" activeCell="A2" sqref="A2"/>
    </sheetView>
  </sheetViews>
  <sheetFormatPr defaultRowHeight="13.8"/>
  <cols>
    <col min="1" max="1" width="14" customWidth="1"/>
    <col min="2" max="2" width="18" customWidth="1"/>
    <col min="3" max="6" width="12" customWidth="1"/>
    <col min="7" max="7" width="62" customWidth="1"/>
  </cols>
  <sheetData>
    <row r="1" spans="1:7" ht="30" customHeight="1">
      <c r="A1" s="30" t="s">
        <v>3</v>
      </c>
      <c r="B1" s="30" t="s">
        <v>791</v>
      </c>
      <c r="C1" s="30" t="s">
        <v>792</v>
      </c>
      <c r="D1" s="30" t="s">
        <v>793</v>
      </c>
      <c r="E1" s="30" t="s">
        <v>794</v>
      </c>
      <c r="F1" s="30" t="s">
        <v>795</v>
      </c>
      <c r="G1" s="30" t="s">
        <v>796</v>
      </c>
    </row>
    <row r="2" spans="1:7" ht="42" customHeight="1">
      <c r="A2" s="29" t="s">
        <v>20</v>
      </c>
      <c r="B2" s="29">
        <f>COUNTIF('Test Case Specification'!$D$2:$D$130,A2)</f>
        <v>30</v>
      </c>
      <c r="C2" s="29">
        <f>COUNTIFS('Test Case Specification'!$D$2:$D$130,A2,'Test Case Specification'!$O$2:$O$130,"PASS")</f>
        <v>0</v>
      </c>
      <c r="D2" s="29">
        <f>COUNTIFS('Test Case Specification'!$D$2:$D$130,A2,'Test Case Specification'!$O$2:$O$130,"FAIL")</f>
        <v>0</v>
      </c>
      <c r="E2" s="29">
        <f>COUNTIFS('Test Case Specification'!$D$2:$D$130,A2,'Test Case Specification'!$O$2:$O$130,"BLOCKED")</f>
        <v>0</v>
      </c>
      <c r="F2" s="29">
        <f>COUNTIFS('Test Case Specification'!$D$2:$D$130,A2,'Test Case Specification'!$O$2:$O$130,"NOT RUN")</f>
        <v>30</v>
      </c>
      <c r="G2" s="29" t="s">
        <v>797</v>
      </c>
    </row>
    <row r="3" spans="1:7" ht="42" customHeight="1">
      <c r="A3" s="29" t="s">
        <v>138</v>
      </c>
      <c r="B3" s="29">
        <f>COUNTIF('Test Case Specification'!$D$2:$D$130,A3)</f>
        <v>39</v>
      </c>
      <c r="C3" s="29">
        <f>COUNTIFS('Test Case Specification'!$D$2:$D$130,A3,'Test Case Specification'!$O$2:$O$130,"PASS")</f>
        <v>0</v>
      </c>
      <c r="D3" s="29">
        <f>COUNTIFS('Test Case Specification'!$D$2:$D$130,A3,'Test Case Specification'!$O$2:$O$130,"FAIL")</f>
        <v>0</v>
      </c>
      <c r="E3" s="29">
        <f>COUNTIFS('Test Case Specification'!$D$2:$D$130,A3,'Test Case Specification'!$O$2:$O$130,"BLOCKED")</f>
        <v>0</v>
      </c>
      <c r="F3" s="29">
        <f>COUNTIFS('Test Case Specification'!$D$2:$D$130,A3,'Test Case Specification'!$O$2:$O$130,"NOT RUN")</f>
        <v>39</v>
      </c>
      <c r="G3" s="29" t="s">
        <v>798</v>
      </c>
    </row>
    <row r="4" spans="1:7" ht="42" customHeight="1">
      <c r="A4" s="29" t="s">
        <v>338</v>
      </c>
      <c r="B4" s="29">
        <f>COUNTIF('Test Case Specification'!$D$2:$D$130,A4)</f>
        <v>60</v>
      </c>
      <c r="C4" s="29">
        <f>COUNTIFS('Test Case Specification'!$D$2:$D$130,A4,'Test Case Specification'!$O$2:$O$130,"PASS")</f>
        <v>0</v>
      </c>
      <c r="D4" s="29">
        <f>COUNTIFS('Test Case Specification'!$D$2:$D$130,A4,'Test Case Specification'!$O$2:$O$130,"FAIL")</f>
        <v>0</v>
      </c>
      <c r="E4" s="29">
        <f>COUNTIFS('Test Case Specification'!$D$2:$D$130,A4,'Test Case Specification'!$O$2:$O$130,"BLOCKED")</f>
        <v>0</v>
      </c>
      <c r="F4" s="29">
        <f>COUNTIFS('Test Case Specification'!$D$2:$D$130,A4,'Test Case Specification'!$O$2:$O$130,"NOT RUN")</f>
        <v>60</v>
      </c>
      <c r="G4" s="29" t="s">
        <v>799</v>
      </c>
    </row>
  </sheetData>
  <autoFilter ref="A1:G4"/>
  <pageMargins left="0.3" right="0.3" top="0.5" bottom="0.5" header="0.2" footer="0.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showGridLines="0" workbookViewId="0">
      <pane ySplit="1" topLeftCell="A2" activePane="bottomLeft" state="frozen"/>
      <selection pane="bottomLeft" activeCell="A2" sqref="A2"/>
    </sheetView>
  </sheetViews>
  <sheetFormatPr defaultRowHeight="13.8"/>
  <cols>
    <col min="1" max="1" width="12" customWidth="1"/>
    <col min="2" max="2" width="30" customWidth="1"/>
    <col min="3" max="3" width="28" customWidth="1"/>
    <col min="4" max="4" width="14" customWidth="1"/>
    <col min="5" max="6" width="12" customWidth="1"/>
    <col min="7" max="7" width="48" customWidth="1"/>
    <col min="8" max="8" width="42" customWidth="1"/>
    <col min="9" max="9" width="36" customWidth="1"/>
  </cols>
  <sheetData>
    <row r="1" spans="1:9" ht="30" customHeight="1">
      <c r="A1" s="30" t="s">
        <v>800</v>
      </c>
      <c r="B1" s="30" t="s">
        <v>801</v>
      </c>
      <c r="C1" s="30" t="s">
        <v>802</v>
      </c>
      <c r="D1" s="30" t="s">
        <v>803</v>
      </c>
      <c r="E1" s="30" t="s">
        <v>792</v>
      </c>
      <c r="F1" s="30" t="s">
        <v>793</v>
      </c>
      <c r="G1" s="30" t="s">
        <v>804</v>
      </c>
      <c r="H1" s="30" t="s">
        <v>805</v>
      </c>
      <c r="I1" s="30" t="s">
        <v>18</v>
      </c>
    </row>
    <row r="2" spans="1:9" ht="42" customHeight="1">
      <c r="A2" s="29" t="s">
        <v>806</v>
      </c>
      <c r="B2" s="29" t="s">
        <v>807</v>
      </c>
      <c r="C2" s="29" t="s">
        <v>21</v>
      </c>
      <c r="D2" s="29">
        <v>4</v>
      </c>
      <c r="E2" s="29">
        <v>4</v>
      </c>
      <c r="F2" s="29">
        <v>0</v>
      </c>
      <c r="G2" s="29" t="s">
        <v>808</v>
      </c>
      <c r="H2" s="29" t="s">
        <v>809</v>
      </c>
      <c r="I2" s="29" t="s">
        <v>810</v>
      </c>
    </row>
    <row r="3" spans="1:9" ht="42" customHeight="1">
      <c r="A3" s="29" t="s">
        <v>806</v>
      </c>
      <c r="B3" s="29" t="s">
        <v>811</v>
      </c>
      <c r="C3" s="29" t="s">
        <v>812</v>
      </c>
      <c r="D3" s="29">
        <v>3</v>
      </c>
      <c r="E3" s="29">
        <v>3</v>
      </c>
      <c r="F3" s="29">
        <v>0</v>
      </c>
      <c r="G3" s="29" t="s">
        <v>813</v>
      </c>
      <c r="H3" s="29" t="s">
        <v>814</v>
      </c>
      <c r="I3" s="29" t="s">
        <v>810</v>
      </c>
    </row>
    <row r="4" spans="1:9" ht="42" customHeight="1">
      <c r="A4" s="29" t="s">
        <v>806</v>
      </c>
      <c r="B4" s="29" t="s">
        <v>815</v>
      </c>
      <c r="C4" s="29" t="s">
        <v>816</v>
      </c>
      <c r="D4" s="29">
        <v>3</v>
      </c>
      <c r="E4" s="29">
        <v>3</v>
      </c>
      <c r="F4" s="29">
        <v>0</v>
      </c>
      <c r="G4" s="29" t="s">
        <v>817</v>
      </c>
      <c r="H4" s="29" t="s">
        <v>814</v>
      </c>
      <c r="I4" s="29" t="s">
        <v>810</v>
      </c>
    </row>
    <row r="5" spans="1:9" ht="42" customHeight="1">
      <c r="A5" s="29" t="s">
        <v>806</v>
      </c>
      <c r="B5" s="29" t="s">
        <v>818</v>
      </c>
      <c r="C5" s="29" t="s">
        <v>648</v>
      </c>
      <c r="D5" s="29">
        <v>4</v>
      </c>
      <c r="E5" s="29">
        <v>4</v>
      </c>
      <c r="F5" s="29">
        <v>0</v>
      </c>
      <c r="G5" s="29" t="s">
        <v>819</v>
      </c>
      <c r="H5" s="29" t="s">
        <v>820</v>
      </c>
      <c r="I5" s="29" t="s">
        <v>810</v>
      </c>
    </row>
    <row r="6" spans="1:9" ht="42" customHeight="1">
      <c r="A6" s="29" t="s">
        <v>806</v>
      </c>
      <c r="B6" s="29" t="s">
        <v>821</v>
      </c>
      <c r="C6" s="29" t="s">
        <v>762</v>
      </c>
      <c r="D6" s="29">
        <v>4</v>
      </c>
      <c r="E6" s="29">
        <v>4</v>
      </c>
      <c r="F6" s="29">
        <v>0</v>
      </c>
      <c r="G6" s="29" t="s">
        <v>822</v>
      </c>
      <c r="H6" s="29" t="s">
        <v>823</v>
      </c>
      <c r="I6" s="29" t="s">
        <v>810</v>
      </c>
    </row>
    <row r="7" spans="1:9" ht="42" customHeight="1">
      <c r="A7" s="29" t="s">
        <v>806</v>
      </c>
      <c r="B7" s="29" t="s">
        <v>824</v>
      </c>
      <c r="C7" s="29" t="s">
        <v>825</v>
      </c>
      <c r="D7" s="29">
        <v>7</v>
      </c>
      <c r="E7" s="29">
        <v>7</v>
      </c>
      <c r="F7" s="29">
        <v>0</v>
      </c>
      <c r="G7" s="29" t="s">
        <v>826</v>
      </c>
      <c r="H7" s="29" t="s">
        <v>827</v>
      </c>
      <c r="I7" s="29" t="s">
        <v>828</v>
      </c>
    </row>
    <row r="8" spans="1:9" ht="42" customHeight="1">
      <c r="A8" s="29" t="s">
        <v>806</v>
      </c>
      <c r="B8" s="29" t="s">
        <v>829</v>
      </c>
      <c r="C8" s="29" t="s">
        <v>830</v>
      </c>
      <c r="D8" s="29">
        <v>9</v>
      </c>
      <c r="E8" s="29">
        <v>9</v>
      </c>
      <c r="F8" s="29">
        <v>0</v>
      </c>
      <c r="G8" s="29" t="s">
        <v>831</v>
      </c>
      <c r="H8" s="29" t="s">
        <v>827</v>
      </c>
      <c r="I8" s="29" t="s">
        <v>828</v>
      </c>
    </row>
    <row r="9" spans="1:9" ht="42" customHeight="1">
      <c r="A9" s="29" t="s">
        <v>806</v>
      </c>
      <c r="B9" s="29" t="s">
        <v>832</v>
      </c>
      <c r="C9" s="29" t="s">
        <v>833</v>
      </c>
      <c r="D9" s="29">
        <v>3</v>
      </c>
      <c r="E9" s="29">
        <v>3</v>
      </c>
      <c r="F9" s="29">
        <v>0</v>
      </c>
      <c r="G9" s="29" t="s">
        <v>834</v>
      </c>
      <c r="H9" s="29" t="s">
        <v>827</v>
      </c>
      <c r="I9" s="29" t="s">
        <v>828</v>
      </c>
    </row>
    <row r="10" spans="1:9" ht="42" customHeight="1">
      <c r="A10" s="29" t="s">
        <v>806</v>
      </c>
      <c r="B10" s="29" t="s">
        <v>835</v>
      </c>
      <c r="C10" s="29" t="s">
        <v>836</v>
      </c>
      <c r="D10" s="29">
        <v>37</v>
      </c>
      <c r="E10" s="29">
        <v>37</v>
      </c>
      <c r="F10" s="29">
        <v>0</v>
      </c>
      <c r="G10" s="29" t="s">
        <v>837</v>
      </c>
      <c r="H10" s="29" t="s">
        <v>838</v>
      </c>
      <c r="I10" s="29" t="s">
        <v>839</v>
      </c>
    </row>
  </sheetData>
  <autoFilter ref="A1:I10"/>
  <pageMargins left="0.3" right="0.3" top="0.5" bottom="0.5" header="0.2" footer="0.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showGridLines="0" workbookViewId="0">
      <pane ySplit="1" topLeftCell="A2" activePane="bottomLeft" state="frozen"/>
      <selection pane="bottomLeft" activeCell="A2" sqref="A2"/>
    </sheetView>
  </sheetViews>
  <sheetFormatPr defaultRowHeight="13.8"/>
  <cols>
    <col min="1" max="1" width="24" customWidth="1"/>
    <col min="2" max="2" width="18" customWidth="1"/>
    <col min="3" max="3" width="58" customWidth="1"/>
    <col min="4" max="4" width="62" customWidth="1"/>
  </cols>
  <sheetData>
    <row r="1" spans="1:4" ht="30" customHeight="1">
      <c r="A1" s="30" t="s">
        <v>840</v>
      </c>
      <c r="B1" s="30" t="s">
        <v>841</v>
      </c>
      <c r="C1" s="30" t="s">
        <v>842</v>
      </c>
      <c r="D1" s="30" t="s">
        <v>843</v>
      </c>
    </row>
    <row r="2" spans="1:4" ht="42" customHeight="1">
      <c r="A2" s="29" t="s">
        <v>844</v>
      </c>
      <c r="B2" s="28">
        <v>0.14130000000000001</v>
      </c>
      <c r="C2" s="29" t="s">
        <v>845</v>
      </c>
      <c r="D2" s="29" t="s">
        <v>846</v>
      </c>
    </row>
    <row r="3" spans="1:4" ht="42" customHeight="1">
      <c r="A3" s="29" t="s">
        <v>847</v>
      </c>
      <c r="B3" s="28">
        <v>6.7400000000000002E-2</v>
      </c>
      <c r="C3" s="29" t="s">
        <v>848</v>
      </c>
      <c r="D3" s="29" t="s">
        <v>849</v>
      </c>
    </row>
    <row r="4" spans="1:4" ht="42" customHeight="1">
      <c r="A4" s="29" t="s">
        <v>850</v>
      </c>
      <c r="B4" s="29" t="s">
        <v>851</v>
      </c>
      <c r="C4" s="29" t="s">
        <v>852</v>
      </c>
      <c r="D4" s="29" t="s">
        <v>853</v>
      </c>
    </row>
    <row r="5" spans="1:4" ht="42" customHeight="1">
      <c r="A5" s="29" t="s">
        <v>854</v>
      </c>
      <c r="B5" s="29" t="s">
        <v>851</v>
      </c>
      <c r="C5" s="29" t="s">
        <v>855</v>
      </c>
      <c r="D5" s="29" t="s">
        <v>856</v>
      </c>
    </row>
  </sheetData>
  <autoFilter ref="A1:D5"/>
  <pageMargins left="0.3" right="0.3" top="0.5" bottom="0.5" header="0.2" footer="0.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"/>
  <sheetViews>
    <sheetView showGridLines="0" workbookViewId="0">
      <pane ySplit="1" topLeftCell="A2" activePane="bottomLeft" state="frozen"/>
      <selection pane="bottomLeft" activeCell="A2" sqref="A2"/>
    </sheetView>
  </sheetViews>
  <sheetFormatPr defaultRowHeight="13.8"/>
  <cols>
    <col min="1" max="1" width="18" customWidth="1"/>
    <col min="2" max="2" width="24" customWidth="1"/>
    <col min="3" max="3" width="20" customWidth="1"/>
    <col min="4" max="4" width="34" customWidth="1"/>
    <col min="5" max="5" width="14" customWidth="1"/>
    <col min="6" max="6" width="48" customWidth="1"/>
    <col min="7" max="8" width="42" customWidth="1"/>
    <col min="9" max="9" width="14" customWidth="1"/>
    <col min="10" max="10" width="16" customWidth="1"/>
    <col min="11" max="11" width="12" customWidth="1"/>
    <col min="12" max="12" width="42" customWidth="1"/>
  </cols>
  <sheetData>
    <row r="1" spans="1:12" ht="30" customHeight="1">
      <c r="A1" s="30" t="s">
        <v>857</v>
      </c>
      <c r="B1" s="30" t="s">
        <v>858</v>
      </c>
      <c r="C1" s="30" t="s">
        <v>3</v>
      </c>
      <c r="D1" s="30" t="s">
        <v>7</v>
      </c>
      <c r="E1" s="30" t="s">
        <v>859</v>
      </c>
      <c r="F1" s="30" t="s">
        <v>860</v>
      </c>
      <c r="G1" s="30" t="s">
        <v>861</v>
      </c>
      <c r="H1" s="30" t="s">
        <v>862</v>
      </c>
      <c r="I1" s="30" t="s">
        <v>16</v>
      </c>
      <c r="J1" s="30" t="s">
        <v>863</v>
      </c>
      <c r="K1" s="30" t="s">
        <v>14</v>
      </c>
      <c r="L1" s="30" t="s">
        <v>18</v>
      </c>
    </row>
    <row r="2" spans="1:12" ht="42" customHeight="1">
      <c r="A2" s="29" t="s">
        <v>864</v>
      </c>
      <c r="B2" s="29" t="s">
        <v>865</v>
      </c>
      <c r="C2" s="29" t="s">
        <v>866</v>
      </c>
      <c r="D2" s="29" t="s">
        <v>867</v>
      </c>
      <c r="E2" s="29">
        <v>400</v>
      </c>
      <c r="F2" s="29" t="s">
        <v>868</v>
      </c>
      <c r="G2" s="29" t="s">
        <v>869</v>
      </c>
      <c r="H2" s="29" t="s">
        <v>870</v>
      </c>
      <c r="I2" s="29" t="s">
        <v>871</v>
      </c>
      <c r="J2" s="29" t="s">
        <v>30</v>
      </c>
      <c r="K2" s="29" t="s">
        <v>31</v>
      </c>
      <c r="L2" s="29" t="s">
        <v>872</v>
      </c>
    </row>
    <row r="3" spans="1:12" ht="42" customHeight="1">
      <c r="A3" s="29" t="s">
        <v>873</v>
      </c>
      <c r="B3" s="29" t="s">
        <v>874</v>
      </c>
      <c r="C3" s="29" t="s">
        <v>20</v>
      </c>
      <c r="D3" s="29" t="s">
        <v>875</v>
      </c>
      <c r="E3" s="29">
        <v>401</v>
      </c>
      <c r="F3" s="29" t="s">
        <v>876</v>
      </c>
      <c r="G3" s="29" t="s">
        <v>877</v>
      </c>
      <c r="H3" s="29" t="s">
        <v>878</v>
      </c>
      <c r="I3" s="29" t="s">
        <v>879</v>
      </c>
      <c r="J3" s="29" t="s">
        <v>30</v>
      </c>
      <c r="K3" s="29" t="s">
        <v>31</v>
      </c>
      <c r="L3" s="29" t="s">
        <v>880</v>
      </c>
    </row>
    <row r="4" spans="1:12" ht="42" customHeight="1">
      <c r="A4" s="29" t="s">
        <v>881</v>
      </c>
      <c r="B4" s="29" t="s">
        <v>882</v>
      </c>
      <c r="C4" s="29" t="s">
        <v>20</v>
      </c>
      <c r="D4" s="29" t="s">
        <v>883</v>
      </c>
      <c r="E4" s="29">
        <v>403</v>
      </c>
      <c r="F4" s="29" t="s">
        <v>884</v>
      </c>
      <c r="G4" s="29" t="s">
        <v>885</v>
      </c>
      <c r="H4" s="29" t="s">
        <v>878</v>
      </c>
      <c r="I4" s="29" t="s">
        <v>879</v>
      </c>
      <c r="J4" s="29" t="s">
        <v>30</v>
      </c>
      <c r="K4" s="29" t="s">
        <v>31</v>
      </c>
      <c r="L4" s="29" t="s">
        <v>886</v>
      </c>
    </row>
    <row r="5" spans="1:12" ht="42" customHeight="1">
      <c r="A5" s="29" t="s">
        <v>887</v>
      </c>
      <c r="B5" s="29" t="s">
        <v>888</v>
      </c>
      <c r="C5" s="29" t="s">
        <v>866</v>
      </c>
      <c r="D5" s="29" t="s">
        <v>889</v>
      </c>
      <c r="E5" s="29">
        <v>404</v>
      </c>
      <c r="F5" s="29" t="s">
        <v>890</v>
      </c>
      <c r="G5" s="29" t="s">
        <v>891</v>
      </c>
      <c r="H5" s="29" t="s">
        <v>892</v>
      </c>
      <c r="I5" s="29" t="s">
        <v>871</v>
      </c>
      <c r="J5" s="29" t="s">
        <v>30</v>
      </c>
      <c r="K5" s="29" t="s">
        <v>31</v>
      </c>
      <c r="L5" s="29" t="s">
        <v>893</v>
      </c>
    </row>
    <row r="6" spans="1:12" ht="42" customHeight="1">
      <c r="A6" s="29" t="s">
        <v>894</v>
      </c>
      <c r="B6" s="29" t="s">
        <v>895</v>
      </c>
      <c r="C6" s="29" t="s">
        <v>896</v>
      </c>
      <c r="D6" s="29" t="s">
        <v>897</v>
      </c>
      <c r="E6" s="29">
        <v>405</v>
      </c>
      <c r="F6" s="29" t="s">
        <v>898</v>
      </c>
      <c r="G6" s="29" t="s">
        <v>899</v>
      </c>
      <c r="H6" s="29" t="s">
        <v>900</v>
      </c>
      <c r="I6" s="29" t="s">
        <v>879</v>
      </c>
      <c r="J6" s="29" t="s">
        <v>30</v>
      </c>
      <c r="K6" s="29" t="s">
        <v>31</v>
      </c>
      <c r="L6" s="29" t="s">
        <v>901</v>
      </c>
    </row>
    <row r="7" spans="1:12" ht="42" customHeight="1">
      <c r="A7" s="29" t="s">
        <v>902</v>
      </c>
      <c r="B7" s="29" t="s">
        <v>903</v>
      </c>
      <c r="C7" s="29" t="s">
        <v>866</v>
      </c>
      <c r="D7" s="29" t="s">
        <v>867</v>
      </c>
      <c r="E7" s="29">
        <v>500</v>
      </c>
      <c r="F7" s="29" t="s">
        <v>904</v>
      </c>
      <c r="G7" s="29" t="s">
        <v>905</v>
      </c>
      <c r="H7" s="29" t="s">
        <v>906</v>
      </c>
      <c r="I7" s="29" t="s">
        <v>907</v>
      </c>
      <c r="J7" s="29" t="s">
        <v>30</v>
      </c>
      <c r="K7" s="29" t="s">
        <v>31</v>
      </c>
      <c r="L7" s="29" t="s">
        <v>908</v>
      </c>
    </row>
  </sheetData>
  <autoFilter ref="A1:L7"/>
  <dataValidations count="1">
    <dataValidation type="list" allowBlank="1" showErrorMessage="1" errorTitle="Invalid status" error="Use PASS, FAIL, BLOCKED or NOT RUN." sqref="K2:K7">
      <formula1>"PASS,FAIL,BLOCKED,NOT RUN"</formula1>
    </dataValidation>
  </dataValidations>
  <pageMargins left="0.3" right="0.3" top="0.5" bottom="0.5" header="0.2" footer="0.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showGridLines="0" workbookViewId="0">
      <pane ySplit="1" topLeftCell="A2" activePane="bottomLeft" state="frozen"/>
      <selection pane="bottomLeft" activeCell="A2" sqref="A2"/>
    </sheetView>
  </sheetViews>
  <sheetFormatPr defaultRowHeight="13.8"/>
  <cols>
    <col min="1" max="1" width="52" customWidth="1"/>
    <col min="2" max="2" width="14" customWidth="1"/>
    <col min="3" max="3" width="42" customWidth="1"/>
    <col min="4" max="5" width="48" customWidth="1"/>
    <col min="6" max="6" width="24" customWidth="1"/>
    <col min="7" max="7" width="12" customWidth="1"/>
  </cols>
  <sheetData>
    <row r="1" spans="1:7" ht="30" customHeight="1">
      <c r="A1" s="30" t="s">
        <v>909</v>
      </c>
      <c r="B1" s="30" t="s">
        <v>910</v>
      </c>
      <c r="C1" s="30" t="s">
        <v>5</v>
      </c>
      <c r="D1" s="30" t="s">
        <v>911</v>
      </c>
      <c r="E1" s="30" t="s">
        <v>912</v>
      </c>
      <c r="F1" s="30" t="s">
        <v>913</v>
      </c>
      <c r="G1" s="30" t="s">
        <v>14</v>
      </c>
    </row>
    <row r="2" spans="1:7" ht="42" customHeight="1">
      <c r="A2" s="29" t="s">
        <v>914</v>
      </c>
      <c r="B2" s="29" t="s">
        <v>20</v>
      </c>
      <c r="C2" s="29" t="s">
        <v>915</v>
      </c>
      <c r="D2" s="29" t="s">
        <v>916</v>
      </c>
      <c r="E2" s="29" t="s">
        <v>807</v>
      </c>
      <c r="F2" s="29" t="s">
        <v>917</v>
      </c>
      <c r="G2" s="29" t="s">
        <v>31</v>
      </c>
    </row>
    <row r="3" spans="1:7" ht="42" customHeight="1">
      <c r="A3" s="29" t="s">
        <v>918</v>
      </c>
      <c r="B3" s="29" t="s">
        <v>138</v>
      </c>
      <c r="C3" s="29" t="s">
        <v>139</v>
      </c>
      <c r="D3" s="29" t="s">
        <v>919</v>
      </c>
      <c r="E3" s="29" t="s">
        <v>920</v>
      </c>
      <c r="F3" s="29" t="s">
        <v>917</v>
      </c>
      <c r="G3" s="29" t="s">
        <v>31</v>
      </c>
    </row>
    <row r="4" spans="1:7" ht="42" customHeight="1">
      <c r="A4" s="29" t="s">
        <v>921</v>
      </c>
      <c r="B4" s="29" t="s">
        <v>338</v>
      </c>
      <c r="C4" s="29" t="s">
        <v>922</v>
      </c>
      <c r="D4" s="29" t="s">
        <v>923</v>
      </c>
      <c r="E4" s="29" t="s">
        <v>924</v>
      </c>
      <c r="F4" s="29" t="s">
        <v>917</v>
      </c>
      <c r="G4" s="29" t="s">
        <v>31</v>
      </c>
    </row>
  </sheetData>
  <autoFilter ref="A1:G4"/>
  <dataValidations count="1">
    <dataValidation type="list" allowBlank="1" showErrorMessage="1" errorTitle="Invalid status" error="Use PASS, FAIL, BLOCKED or NOT RUN." sqref="G2:G4">
      <formula1>"PASS,FAIL,BLOCKED,NOT RUN"</formula1>
    </dataValidation>
  </dataValidations>
  <pageMargins left="0.3" right="0.3" top="0.5" bottom="0.5" header="0.2" footer="0.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showGridLines="0" workbookViewId="0">
      <pane ySplit="3" topLeftCell="A4" activePane="bottomLeft" state="frozen"/>
      <selection pane="bottomLeft"/>
    </sheetView>
  </sheetViews>
  <sheetFormatPr defaultRowHeight="13.8"/>
  <cols>
    <col min="1" max="1" width="32" customWidth="1"/>
    <col min="2" max="2" width="16" customWidth="1"/>
    <col min="3" max="3" width="42" customWidth="1"/>
    <col min="4" max="4" width="4" customWidth="1"/>
    <col min="5" max="5" width="38" customWidth="1"/>
    <col min="6" max="8" width="18" customWidth="1"/>
  </cols>
  <sheetData>
    <row r="1" spans="1:8" ht="30" customHeight="1">
      <c r="A1" s="1" t="s">
        <v>925</v>
      </c>
      <c r="B1" s="1"/>
      <c r="C1" s="1"/>
      <c r="D1" s="1"/>
      <c r="E1" s="1"/>
      <c r="F1" s="1"/>
      <c r="G1" s="1"/>
      <c r="H1" s="1"/>
    </row>
    <row r="3" spans="1:8">
      <c r="A3" s="21" t="s">
        <v>840</v>
      </c>
      <c r="B3" s="11" t="s">
        <v>841</v>
      </c>
      <c r="E3" s="21" t="s">
        <v>926</v>
      </c>
      <c r="F3" s="11" t="s">
        <v>927</v>
      </c>
    </row>
    <row r="4" spans="1:8">
      <c r="A4" s="22" t="s">
        <v>928</v>
      </c>
      <c r="B4" s="24">
        <v>97</v>
      </c>
      <c r="E4" s="22" t="s">
        <v>929</v>
      </c>
      <c r="F4" s="24">
        <v>87</v>
      </c>
    </row>
    <row r="5" spans="1:8">
      <c r="A5" s="22" t="s">
        <v>930</v>
      </c>
      <c r="B5" s="24">
        <v>121</v>
      </c>
      <c r="E5" s="22" t="s">
        <v>931</v>
      </c>
      <c r="F5" s="24">
        <v>128</v>
      </c>
    </row>
    <row r="6" spans="1:8">
      <c r="A6" s="22" t="s">
        <v>932</v>
      </c>
      <c r="B6" s="24">
        <v>87</v>
      </c>
      <c r="E6" s="22" t="s">
        <v>933</v>
      </c>
      <c r="F6" s="24">
        <v>39</v>
      </c>
    </row>
    <row r="7" spans="1:8">
      <c r="A7" s="22" t="s">
        <v>791</v>
      </c>
      <c r="B7" s="24">
        <f>SUM(B13:B21)</f>
        <v>129</v>
      </c>
      <c r="E7" s="22" t="s">
        <v>934</v>
      </c>
      <c r="F7" s="24">
        <v>48</v>
      </c>
    </row>
    <row r="8" spans="1:8">
      <c r="A8" s="22" t="s">
        <v>935</v>
      </c>
      <c r="B8" s="24">
        <v>87</v>
      </c>
      <c r="E8" s="22" t="s">
        <v>936</v>
      </c>
      <c r="F8" s="24">
        <v>61</v>
      </c>
    </row>
    <row r="9" spans="1:8" ht="37.950000000000003" customHeight="1">
      <c r="A9" s="27" t="s">
        <v>937</v>
      </c>
      <c r="B9" s="28">
        <f>IF(B6=0,0,B8/B6)</f>
        <v>1</v>
      </c>
      <c r="E9" s="37" t="s">
        <v>938</v>
      </c>
      <c r="F9" s="32"/>
      <c r="G9" s="32"/>
      <c r="H9" s="33"/>
    </row>
    <row r="10" spans="1:8" ht="120" customHeight="1">
      <c r="A10" s="23"/>
      <c r="B10" s="25"/>
      <c r="E10" s="12" t="s">
        <v>939</v>
      </c>
      <c r="F10" s="13"/>
      <c r="G10" s="13"/>
      <c r="H10" s="14"/>
    </row>
    <row r="11" spans="1:8" ht="18" customHeight="1">
      <c r="A11" s="23"/>
      <c r="B11" s="25"/>
      <c r="E11" s="15"/>
      <c r="F11" s="16"/>
      <c r="G11" s="16"/>
      <c r="H11" s="17"/>
    </row>
    <row r="12" spans="1:8" ht="18" customHeight="1">
      <c r="A12" s="21" t="s">
        <v>940</v>
      </c>
      <c r="B12" s="26" t="s">
        <v>941</v>
      </c>
      <c r="C12" s="11" t="s">
        <v>942</v>
      </c>
      <c r="E12" s="15"/>
      <c r="F12" s="16"/>
      <c r="G12" s="16"/>
      <c r="H12" s="17"/>
    </row>
    <row r="13" spans="1:8" ht="18" customHeight="1">
      <c r="A13" s="22" t="s">
        <v>943</v>
      </c>
      <c r="B13" s="24">
        <f>COUNTA(Authentication!A4:A18)</f>
        <v>15</v>
      </c>
      <c r="C13" s="29" t="s">
        <v>944</v>
      </c>
      <c r="E13" s="15"/>
      <c r="F13" s="16"/>
      <c r="G13" s="16"/>
      <c r="H13" s="17"/>
    </row>
    <row r="14" spans="1:8" ht="18" customHeight="1">
      <c r="A14" s="22" t="s">
        <v>945</v>
      </c>
      <c r="B14" s="24">
        <f>COUNTA(Vehicle!A4:A16)</f>
        <v>13</v>
      </c>
      <c r="C14" s="29" t="s">
        <v>944</v>
      </c>
      <c r="E14" s="15"/>
      <c r="F14" s="16"/>
      <c r="G14" s="16"/>
      <c r="H14" s="17"/>
    </row>
    <row r="15" spans="1:8" ht="18" customHeight="1">
      <c r="A15" s="22" t="s">
        <v>946</v>
      </c>
      <c r="B15" s="24">
        <f>COUNTA(Customer!A4:A18)</f>
        <v>15</v>
      </c>
      <c r="C15" s="29" t="s">
        <v>944</v>
      </c>
      <c r="E15" s="18"/>
      <c r="F15" s="19"/>
      <c r="G15" s="19"/>
      <c r="H15" s="20"/>
    </row>
    <row r="16" spans="1:8" ht="27.6">
      <c r="A16" s="22" t="s">
        <v>947</v>
      </c>
      <c r="B16" s="24">
        <f>COUNTA(Dealer!A4:A10)</f>
        <v>7</v>
      </c>
      <c r="C16" s="29" t="s">
        <v>944</v>
      </c>
    </row>
    <row r="17" spans="1:8" ht="27.6">
      <c r="A17" s="22" t="s">
        <v>948</v>
      </c>
      <c r="B17" s="24">
        <f>COUNTA(Quote!A4:A10)</f>
        <v>7</v>
      </c>
      <c r="C17" s="29" t="s">
        <v>944</v>
      </c>
    </row>
    <row r="18" spans="1:8" ht="27.6">
      <c r="A18" s="22" t="s">
        <v>949</v>
      </c>
      <c r="B18" s="24">
        <f>COUNTA(Reservation!A4:A22)</f>
        <v>19</v>
      </c>
      <c r="C18" s="29" t="s">
        <v>944</v>
      </c>
    </row>
    <row r="19" spans="1:8" ht="27.6">
      <c r="A19" s="22" t="s">
        <v>950</v>
      </c>
      <c r="B19" s="24">
        <f>COUNTA(Sales!A4:A33)</f>
        <v>30</v>
      </c>
      <c r="C19" s="29" t="s">
        <v>944</v>
      </c>
    </row>
    <row r="20" spans="1:8" ht="27.6">
      <c r="A20" s="22" t="s">
        <v>951</v>
      </c>
      <c r="B20" s="24">
        <f>COUNTA(Reporting!A4:A21)</f>
        <v>18</v>
      </c>
      <c r="C20" s="29" t="s">
        <v>944</v>
      </c>
    </row>
    <row r="21" spans="1:8" ht="27.6">
      <c r="A21" s="22" t="s">
        <v>952</v>
      </c>
      <c r="B21" s="24">
        <f>COUNTA(Notification!A4:A8)</f>
        <v>5</v>
      </c>
      <c r="C21" s="29" t="s">
        <v>944</v>
      </c>
    </row>
    <row r="23" spans="1:8" ht="24" customHeight="1">
      <c r="A23" s="31" t="s">
        <v>953</v>
      </c>
      <c r="B23" s="32"/>
      <c r="C23" s="32"/>
      <c r="D23" s="32"/>
      <c r="E23" s="32"/>
      <c r="F23" s="32"/>
      <c r="G23" s="32"/>
      <c r="H23" s="33"/>
    </row>
    <row r="24" spans="1:8" ht="24" customHeight="1">
      <c r="A24" s="34" t="s">
        <v>954</v>
      </c>
      <c r="B24" s="35"/>
      <c r="C24" s="35"/>
      <c r="D24" s="35"/>
      <c r="E24" s="35"/>
      <c r="F24" s="35"/>
      <c r="G24" s="35"/>
      <c r="H24" s="36"/>
    </row>
  </sheetData>
  <mergeCells count="3">
    <mergeCell ref="A23:H23"/>
    <mergeCell ref="A24:H24"/>
    <mergeCell ref="E9:H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showGridLines="0" workbookViewId="0">
      <pane ySplit="3" topLeftCell="A4" activePane="bottomLeft" state="frozen"/>
      <selection pane="bottomLeft" sqref="A1:L1"/>
    </sheetView>
  </sheetViews>
  <sheetFormatPr defaultRowHeight="13.8"/>
  <cols>
    <col min="1" max="1" width="15" customWidth="1"/>
    <col min="2" max="2" width="23.69921875" customWidth="1"/>
    <col min="3" max="3" width="33.69921875" customWidth="1"/>
    <col min="4" max="4" width="11.19921875" customWidth="1"/>
    <col min="5" max="5" width="28.69921875" customWidth="1"/>
    <col min="6" max="6" width="32.5" customWidth="1"/>
    <col min="7" max="7" width="40" customWidth="1"/>
    <col min="8" max="8" width="37.5" customWidth="1"/>
    <col min="9" max="9" width="20" customWidth="1"/>
    <col min="10" max="10" width="13.69921875" customWidth="1"/>
    <col min="11" max="11" width="14.3984375" customWidth="1"/>
    <col min="12" max="12" width="35" customWidth="1"/>
  </cols>
  <sheetData>
    <row r="1" spans="1:12" ht="30" customHeight="1">
      <c r="A1" s="38" t="s">
        <v>955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3" spans="1:12" ht="27.6">
      <c r="A3" s="2" t="s">
        <v>956</v>
      </c>
      <c r="B3" s="3" t="s">
        <v>957</v>
      </c>
      <c r="C3" s="3" t="s">
        <v>7</v>
      </c>
      <c r="D3" s="3" t="s">
        <v>958</v>
      </c>
      <c r="E3" s="3" t="s">
        <v>959</v>
      </c>
      <c r="F3" s="3" t="s">
        <v>9</v>
      </c>
      <c r="G3" s="3" t="s">
        <v>10</v>
      </c>
      <c r="H3" s="3" t="s">
        <v>12</v>
      </c>
      <c r="I3" s="3" t="s">
        <v>13</v>
      </c>
      <c r="J3" s="3" t="s">
        <v>14</v>
      </c>
      <c r="K3" s="3" t="s">
        <v>15</v>
      </c>
      <c r="L3" s="4" t="s">
        <v>960</v>
      </c>
    </row>
    <row r="4" spans="1:12" ht="27.6">
      <c r="A4" s="5" t="s">
        <v>19</v>
      </c>
      <c r="B4" s="5" t="s">
        <v>22</v>
      </c>
      <c r="C4" s="5" t="s">
        <v>24</v>
      </c>
      <c r="D4" s="8" t="s">
        <v>23</v>
      </c>
      <c r="E4" s="5" t="s">
        <v>961</v>
      </c>
      <c r="F4" s="5" t="s">
        <v>26</v>
      </c>
      <c r="G4" s="5" t="s">
        <v>27</v>
      </c>
      <c r="H4" s="5" t="s">
        <v>29</v>
      </c>
      <c r="I4" s="5"/>
      <c r="J4" s="8"/>
      <c r="K4" s="8" t="s">
        <v>32</v>
      </c>
      <c r="L4" s="5" t="s">
        <v>35</v>
      </c>
    </row>
    <row r="5" spans="1:12" ht="27.6">
      <c r="A5" s="6" t="s">
        <v>36</v>
      </c>
      <c r="B5" s="6" t="s">
        <v>37</v>
      </c>
      <c r="C5" s="6" t="s">
        <v>24</v>
      </c>
      <c r="D5" s="9" t="s">
        <v>23</v>
      </c>
      <c r="E5" s="6" t="s">
        <v>962</v>
      </c>
      <c r="F5" s="6" t="s">
        <v>39</v>
      </c>
      <c r="G5" s="6" t="s">
        <v>40</v>
      </c>
      <c r="H5" s="6" t="s">
        <v>41</v>
      </c>
      <c r="I5" s="6"/>
      <c r="J5" s="9"/>
      <c r="K5" s="9" t="s">
        <v>32</v>
      </c>
      <c r="L5" s="6" t="s">
        <v>42</v>
      </c>
    </row>
    <row r="6" spans="1:12" ht="27.6">
      <c r="A6" s="6" t="s">
        <v>43</v>
      </c>
      <c r="B6" s="6" t="s">
        <v>44</v>
      </c>
      <c r="C6" s="6" t="s">
        <v>46</v>
      </c>
      <c r="D6" s="9" t="s">
        <v>45</v>
      </c>
      <c r="E6" s="6" t="s">
        <v>963</v>
      </c>
      <c r="F6" s="6" t="s">
        <v>48</v>
      </c>
      <c r="G6" s="6" t="s">
        <v>49</v>
      </c>
      <c r="H6" s="6" t="s">
        <v>51</v>
      </c>
      <c r="I6" s="6"/>
      <c r="J6" s="9"/>
      <c r="K6" s="9" t="s">
        <v>32</v>
      </c>
      <c r="L6" s="6" t="s">
        <v>52</v>
      </c>
    </row>
    <row r="7" spans="1:12" ht="27.6">
      <c r="A7" s="6" t="s">
        <v>53</v>
      </c>
      <c r="B7" s="6" t="s">
        <v>54</v>
      </c>
      <c r="C7" s="6" t="s">
        <v>46</v>
      </c>
      <c r="D7" s="9" t="s">
        <v>55</v>
      </c>
      <c r="E7" s="6" t="s">
        <v>964</v>
      </c>
      <c r="F7" s="6" t="s">
        <v>57</v>
      </c>
      <c r="G7" s="6" t="s">
        <v>58</v>
      </c>
      <c r="H7" s="6" t="s">
        <v>60</v>
      </c>
      <c r="I7" s="6"/>
      <c r="J7" s="9"/>
      <c r="K7" s="9" t="s">
        <v>32</v>
      </c>
      <c r="L7" s="6" t="s">
        <v>61</v>
      </c>
    </row>
    <row r="8" spans="1:12" ht="27.6">
      <c r="A8" s="6" t="s">
        <v>62</v>
      </c>
      <c r="B8" s="6" t="s">
        <v>63</v>
      </c>
      <c r="C8" s="6" t="s">
        <v>64</v>
      </c>
      <c r="D8" s="9" t="s">
        <v>23</v>
      </c>
      <c r="E8" s="6" t="s">
        <v>965</v>
      </c>
      <c r="F8" s="6" t="s">
        <v>65</v>
      </c>
      <c r="G8" s="6" t="s">
        <v>66</v>
      </c>
      <c r="H8" s="6" t="s">
        <v>68</v>
      </c>
      <c r="I8" s="6"/>
      <c r="J8" s="9"/>
      <c r="K8" s="9" t="s">
        <v>32</v>
      </c>
      <c r="L8" s="6" t="s">
        <v>69</v>
      </c>
    </row>
    <row r="9" spans="1:12" ht="55.2">
      <c r="A9" s="6" t="s">
        <v>70</v>
      </c>
      <c r="B9" s="6" t="s">
        <v>71</v>
      </c>
      <c r="C9" s="6" t="s">
        <v>72</v>
      </c>
      <c r="D9" s="9" t="s">
        <v>23</v>
      </c>
      <c r="E9" s="6" t="s">
        <v>966</v>
      </c>
      <c r="F9" s="6" t="s">
        <v>39</v>
      </c>
      <c r="G9" s="6" t="s">
        <v>73</v>
      </c>
      <c r="H9" s="6" t="s">
        <v>75</v>
      </c>
      <c r="I9" s="6"/>
      <c r="J9" s="9"/>
      <c r="K9" s="9" t="s">
        <v>32</v>
      </c>
      <c r="L9" s="6" t="s">
        <v>76</v>
      </c>
    </row>
    <row r="10" spans="1:12" ht="55.2">
      <c r="A10" s="6" t="s">
        <v>77</v>
      </c>
      <c r="B10" s="6" t="s">
        <v>78</v>
      </c>
      <c r="C10" s="6" t="s">
        <v>72</v>
      </c>
      <c r="D10" s="9" t="s">
        <v>23</v>
      </c>
      <c r="E10" s="6" t="s">
        <v>967</v>
      </c>
      <c r="F10" s="6" t="s">
        <v>39</v>
      </c>
      <c r="G10" s="6" t="s">
        <v>79</v>
      </c>
      <c r="H10" s="6" t="s">
        <v>80</v>
      </c>
      <c r="I10" s="6"/>
      <c r="J10" s="9"/>
      <c r="K10" s="9" t="s">
        <v>32</v>
      </c>
      <c r="L10" s="6" t="s">
        <v>81</v>
      </c>
    </row>
    <row r="11" spans="1:12" ht="69">
      <c r="A11" s="6" t="s">
        <v>82</v>
      </c>
      <c r="B11" s="6" t="s">
        <v>83</v>
      </c>
      <c r="C11" s="6" t="s">
        <v>84</v>
      </c>
      <c r="D11" s="9" t="s">
        <v>23</v>
      </c>
      <c r="E11" s="6" t="s">
        <v>968</v>
      </c>
      <c r="F11" s="6" t="s">
        <v>85</v>
      </c>
      <c r="G11" s="6" t="s">
        <v>86</v>
      </c>
      <c r="H11" s="6" t="s">
        <v>88</v>
      </c>
      <c r="I11" s="6"/>
      <c r="J11" s="9"/>
      <c r="K11" s="9" t="s">
        <v>32</v>
      </c>
      <c r="L11" s="6" t="s">
        <v>89</v>
      </c>
    </row>
    <row r="12" spans="1:12" ht="55.2">
      <c r="A12" s="6" t="s">
        <v>90</v>
      </c>
      <c r="B12" s="6" t="s">
        <v>91</v>
      </c>
      <c r="C12" s="6" t="s">
        <v>92</v>
      </c>
      <c r="D12" s="9" t="s">
        <v>23</v>
      </c>
      <c r="E12" s="6" t="s">
        <v>969</v>
      </c>
      <c r="F12" s="6" t="s">
        <v>94</v>
      </c>
      <c r="G12" s="6" t="s">
        <v>95</v>
      </c>
      <c r="H12" s="6" t="s">
        <v>97</v>
      </c>
      <c r="I12" s="6"/>
      <c r="J12" s="9"/>
      <c r="K12" s="9" t="s">
        <v>32</v>
      </c>
      <c r="L12" s="6" t="s">
        <v>98</v>
      </c>
    </row>
    <row r="13" spans="1:12" ht="55.2">
      <c r="A13" s="6" t="s">
        <v>99</v>
      </c>
      <c r="B13" s="6" t="s">
        <v>100</v>
      </c>
      <c r="C13" s="6" t="s">
        <v>101</v>
      </c>
      <c r="D13" s="9" t="s">
        <v>45</v>
      </c>
      <c r="E13" s="6" t="s">
        <v>970</v>
      </c>
      <c r="F13" s="6" t="s">
        <v>102</v>
      </c>
      <c r="G13" s="6" t="s">
        <v>103</v>
      </c>
      <c r="H13" s="6" t="s">
        <v>97</v>
      </c>
      <c r="I13" s="6"/>
      <c r="J13" s="9"/>
      <c r="K13" s="9" t="s">
        <v>32</v>
      </c>
      <c r="L13" s="6" t="s">
        <v>105</v>
      </c>
    </row>
    <row r="14" spans="1:12" ht="55.2">
      <c r="A14" s="6" t="s">
        <v>106</v>
      </c>
      <c r="B14" s="6" t="s">
        <v>107</v>
      </c>
      <c r="C14" s="6" t="s">
        <v>108</v>
      </c>
      <c r="D14" s="9" t="s">
        <v>45</v>
      </c>
      <c r="E14" s="6" t="s">
        <v>971</v>
      </c>
      <c r="F14" s="6" t="s">
        <v>102</v>
      </c>
      <c r="G14" s="6" t="s">
        <v>109</v>
      </c>
      <c r="H14" s="6" t="s">
        <v>97</v>
      </c>
      <c r="I14" s="6"/>
      <c r="J14" s="9"/>
      <c r="K14" s="9" t="s">
        <v>32</v>
      </c>
      <c r="L14" s="6" t="s">
        <v>111</v>
      </c>
    </row>
    <row r="15" spans="1:12" ht="55.2">
      <c r="A15" s="6" t="s">
        <v>112</v>
      </c>
      <c r="B15" s="6" t="s">
        <v>113</v>
      </c>
      <c r="C15" s="6" t="s">
        <v>115</v>
      </c>
      <c r="D15" s="9" t="s">
        <v>114</v>
      </c>
      <c r="E15" s="6" t="s">
        <v>972</v>
      </c>
      <c r="F15" s="6" t="s">
        <v>102</v>
      </c>
      <c r="G15" s="6" t="s">
        <v>116</v>
      </c>
      <c r="H15" s="6" t="s">
        <v>97</v>
      </c>
      <c r="I15" s="6"/>
      <c r="J15" s="9"/>
      <c r="K15" s="9" t="s">
        <v>32</v>
      </c>
      <c r="L15" s="6" t="s">
        <v>118</v>
      </c>
    </row>
    <row r="16" spans="1:12" ht="55.2">
      <c r="A16" s="6" t="s">
        <v>119</v>
      </c>
      <c r="B16" s="6" t="s">
        <v>120</v>
      </c>
      <c r="C16" s="6" t="s">
        <v>121</v>
      </c>
      <c r="D16" s="9" t="s">
        <v>55</v>
      </c>
      <c r="E16" s="6" t="s">
        <v>973</v>
      </c>
      <c r="F16" s="6" t="s">
        <v>102</v>
      </c>
      <c r="G16" s="6" t="s">
        <v>122</v>
      </c>
      <c r="H16" s="6" t="s">
        <v>97</v>
      </c>
      <c r="I16" s="6"/>
      <c r="J16" s="9"/>
      <c r="K16" s="9" t="s">
        <v>32</v>
      </c>
      <c r="L16" s="6" t="s">
        <v>124</v>
      </c>
    </row>
    <row r="17" spans="1:12" ht="55.2">
      <c r="A17" s="6" t="s">
        <v>125</v>
      </c>
      <c r="B17" s="6" t="s">
        <v>126</v>
      </c>
      <c r="C17" s="6" t="s">
        <v>127</v>
      </c>
      <c r="D17" s="9" t="s">
        <v>55</v>
      </c>
      <c r="E17" s="6" t="s">
        <v>974</v>
      </c>
      <c r="F17" s="6" t="s">
        <v>102</v>
      </c>
      <c r="G17" s="6" t="s">
        <v>128</v>
      </c>
      <c r="H17" s="6" t="s">
        <v>97</v>
      </c>
      <c r="I17" s="6"/>
      <c r="J17" s="9"/>
      <c r="K17" s="9" t="s">
        <v>32</v>
      </c>
      <c r="L17" s="6" t="s">
        <v>130</v>
      </c>
    </row>
    <row r="18" spans="1:12" ht="55.2">
      <c r="A18" s="7" t="s">
        <v>131</v>
      </c>
      <c r="B18" s="7" t="s">
        <v>132</v>
      </c>
      <c r="C18" s="7" t="s">
        <v>133</v>
      </c>
      <c r="D18" s="10" t="s">
        <v>45</v>
      </c>
      <c r="E18" s="7" t="s">
        <v>975</v>
      </c>
      <c r="F18" s="7" t="s">
        <v>94</v>
      </c>
      <c r="G18" s="7" t="s">
        <v>134</v>
      </c>
      <c r="H18" s="7" t="s">
        <v>97</v>
      </c>
      <c r="I18" s="7"/>
      <c r="J18" s="10"/>
      <c r="K18" s="10" t="s">
        <v>32</v>
      </c>
      <c r="L18" s="7" t="s">
        <v>136</v>
      </c>
    </row>
  </sheetData>
  <mergeCells count="1">
    <mergeCell ref="A1:L1"/>
  </mergeCells>
  <conditionalFormatting sqref="J4:J18">
    <cfRule type="containsText" dxfId="18" priority="1" operator="containsText" text="Pass"/>
    <cfRule type="containsText" dxfId="17" priority="2" operator="containsText" text="Fail"/>
  </conditionalFormatting>
  <dataValidations count="2">
    <dataValidation type="list" sqref="J4:J18">
      <formula1>"Not Run,Pass,Fail,Blocked"</formula1>
    </dataValidation>
    <dataValidation type="list" sqref="K4:K18">
      <formula1>"Not specified,Low,Medium,High"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showGridLines="0" workbookViewId="0">
      <pane ySplit="3" topLeftCell="A4" activePane="bottomLeft" state="frozen"/>
      <selection pane="bottomLeft" sqref="A1:L1"/>
    </sheetView>
  </sheetViews>
  <sheetFormatPr defaultRowHeight="13.8"/>
  <cols>
    <col min="1" max="1" width="15" customWidth="1"/>
    <col min="2" max="2" width="23.69921875" customWidth="1"/>
    <col min="3" max="3" width="33.69921875" customWidth="1"/>
    <col min="4" max="4" width="11.19921875" customWidth="1"/>
    <col min="5" max="5" width="28.69921875" customWidth="1"/>
    <col min="6" max="6" width="32.5" customWidth="1"/>
    <col min="7" max="7" width="40" customWidth="1"/>
    <col min="8" max="8" width="37.5" customWidth="1"/>
    <col min="9" max="9" width="20" customWidth="1"/>
    <col min="10" max="10" width="13.69921875" customWidth="1"/>
    <col min="11" max="11" width="14.3984375" customWidth="1"/>
    <col min="12" max="12" width="35" customWidth="1"/>
  </cols>
  <sheetData>
    <row r="1" spans="1:12" ht="30" customHeight="1">
      <c r="A1" s="38" t="s">
        <v>976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3" spans="1:12" ht="27.6">
      <c r="A3" s="2" t="s">
        <v>956</v>
      </c>
      <c r="B3" s="3" t="s">
        <v>957</v>
      </c>
      <c r="C3" s="3" t="s">
        <v>7</v>
      </c>
      <c r="D3" s="3" t="s">
        <v>958</v>
      </c>
      <c r="E3" s="3" t="s">
        <v>959</v>
      </c>
      <c r="F3" s="3" t="s">
        <v>9</v>
      </c>
      <c r="G3" s="3" t="s">
        <v>10</v>
      </c>
      <c r="H3" s="3" t="s">
        <v>12</v>
      </c>
      <c r="I3" s="3" t="s">
        <v>13</v>
      </c>
      <c r="J3" s="3" t="s">
        <v>14</v>
      </c>
      <c r="K3" s="3" t="s">
        <v>15</v>
      </c>
      <c r="L3" s="4" t="s">
        <v>960</v>
      </c>
    </row>
    <row r="4" spans="1:12" ht="27.6">
      <c r="A4" s="5" t="s">
        <v>137</v>
      </c>
      <c r="B4" s="5" t="s">
        <v>140</v>
      </c>
      <c r="C4" s="5" t="s">
        <v>141</v>
      </c>
      <c r="D4" s="8" t="s">
        <v>45</v>
      </c>
      <c r="E4" s="5" t="s">
        <v>977</v>
      </c>
      <c r="F4" s="5" t="s">
        <v>142</v>
      </c>
      <c r="G4" s="5" t="s">
        <v>143</v>
      </c>
      <c r="H4" s="5" t="s">
        <v>145</v>
      </c>
      <c r="I4" s="5"/>
      <c r="J4" s="8"/>
      <c r="K4" s="8" t="s">
        <v>32</v>
      </c>
      <c r="L4" s="5" t="s">
        <v>146</v>
      </c>
    </row>
    <row r="5" spans="1:12" ht="27.6">
      <c r="A5" s="6" t="s">
        <v>147</v>
      </c>
      <c r="B5" s="6" t="s">
        <v>148</v>
      </c>
      <c r="C5" s="6" t="s">
        <v>141</v>
      </c>
      <c r="D5" s="9" t="s">
        <v>45</v>
      </c>
      <c r="E5" s="6" t="s">
        <v>978</v>
      </c>
      <c r="F5" s="6" t="s">
        <v>149</v>
      </c>
      <c r="G5" s="6" t="s">
        <v>150</v>
      </c>
      <c r="H5" s="6" t="s">
        <v>151</v>
      </c>
      <c r="I5" s="6"/>
      <c r="J5" s="9"/>
      <c r="K5" s="9" t="s">
        <v>32</v>
      </c>
      <c r="L5" s="6" t="s">
        <v>152</v>
      </c>
    </row>
    <row r="6" spans="1:12" ht="41.4">
      <c r="A6" s="6" t="s">
        <v>153</v>
      </c>
      <c r="B6" s="6" t="s">
        <v>154</v>
      </c>
      <c r="C6" s="6" t="s">
        <v>141</v>
      </c>
      <c r="D6" s="9" t="s">
        <v>23</v>
      </c>
      <c r="E6" s="6" t="s">
        <v>979</v>
      </c>
      <c r="F6" s="6" t="s">
        <v>155</v>
      </c>
      <c r="G6" s="6" t="s">
        <v>156</v>
      </c>
      <c r="H6" s="6" t="s">
        <v>68</v>
      </c>
      <c r="I6" s="6"/>
      <c r="J6" s="9"/>
      <c r="K6" s="9" t="s">
        <v>32</v>
      </c>
      <c r="L6" s="6" t="s">
        <v>158</v>
      </c>
    </row>
    <row r="7" spans="1:12" ht="27.6">
      <c r="A7" s="6" t="s">
        <v>159</v>
      </c>
      <c r="B7" s="6" t="s">
        <v>160</v>
      </c>
      <c r="C7" s="6" t="s">
        <v>141</v>
      </c>
      <c r="D7" s="9" t="s">
        <v>23</v>
      </c>
      <c r="E7" s="6" t="s">
        <v>980</v>
      </c>
      <c r="F7" s="6" t="s">
        <v>39</v>
      </c>
      <c r="G7" s="6" t="s">
        <v>161</v>
      </c>
      <c r="H7" s="6" t="s">
        <v>162</v>
      </c>
      <c r="I7" s="6"/>
      <c r="J7" s="9"/>
      <c r="K7" s="9" t="s">
        <v>32</v>
      </c>
      <c r="L7" s="6" t="s">
        <v>163</v>
      </c>
    </row>
    <row r="8" spans="1:12" ht="69">
      <c r="A8" s="6" t="s">
        <v>164</v>
      </c>
      <c r="B8" s="6" t="s">
        <v>154</v>
      </c>
      <c r="C8" s="6" t="s">
        <v>141</v>
      </c>
      <c r="D8" s="9" t="s">
        <v>23</v>
      </c>
      <c r="E8" s="6" t="s">
        <v>981</v>
      </c>
      <c r="F8" s="6" t="s">
        <v>165</v>
      </c>
      <c r="G8" s="6" t="s">
        <v>166</v>
      </c>
      <c r="H8" s="6" t="s">
        <v>167</v>
      </c>
      <c r="I8" s="6"/>
      <c r="J8" s="9"/>
      <c r="K8" s="9" t="s">
        <v>32</v>
      </c>
      <c r="L8" s="6" t="s">
        <v>168</v>
      </c>
    </row>
    <row r="9" spans="1:12" ht="55.2">
      <c r="A9" s="6" t="s">
        <v>169</v>
      </c>
      <c r="B9" s="6" t="s">
        <v>170</v>
      </c>
      <c r="C9" s="6" t="s">
        <v>171</v>
      </c>
      <c r="D9" s="9" t="s">
        <v>45</v>
      </c>
      <c r="E9" s="6" t="s">
        <v>982</v>
      </c>
      <c r="F9" s="6" t="s">
        <v>94</v>
      </c>
      <c r="G9" s="6" t="s">
        <v>172</v>
      </c>
      <c r="H9" s="6" t="s">
        <v>97</v>
      </c>
      <c r="I9" s="6"/>
      <c r="J9" s="9"/>
      <c r="K9" s="9" t="s">
        <v>32</v>
      </c>
      <c r="L9" s="6" t="s">
        <v>174</v>
      </c>
    </row>
    <row r="10" spans="1:12" ht="138">
      <c r="A10" s="6" t="s">
        <v>175</v>
      </c>
      <c r="B10" s="6" t="s">
        <v>176</v>
      </c>
      <c r="C10" s="6" t="s">
        <v>171</v>
      </c>
      <c r="D10" s="9" t="s">
        <v>55</v>
      </c>
      <c r="E10" s="6" t="s">
        <v>983</v>
      </c>
      <c r="F10" s="6" t="s">
        <v>102</v>
      </c>
      <c r="G10" s="6" t="s">
        <v>177</v>
      </c>
      <c r="H10" s="6" t="s">
        <v>97</v>
      </c>
      <c r="I10" s="6"/>
      <c r="J10" s="9"/>
      <c r="K10" s="9" t="s">
        <v>32</v>
      </c>
      <c r="L10" s="6" t="s">
        <v>179</v>
      </c>
    </row>
    <row r="11" spans="1:12" ht="55.2">
      <c r="A11" s="6" t="s">
        <v>180</v>
      </c>
      <c r="B11" s="6" t="s">
        <v>181</v>
      </c>
      <c r="C11" s="6" t="s">
        <v>171</v>
      </c>
      <c r="D11" s="9" t="s">
        <v>114</v>
      </c>
      <c r="E11" s="6" t="s">
        <v>984</v>
      </c>
      <c r="F11" s="6" t="s">
        <v>102</v>
      </c>
      <c r="G11" s="6" t="s">
        <v>172</v>
      </c>
      <c r="H11" s="6" t="s">
        <v>97</v>
      </c>
      <c r="I11" s="6"/>
      <c r="J11" s="9"/>
      <c r="K11" s="9" t="s">
        <v>32</v>
      </c>
      <c r="L11" s="6" t="s">
        <v>183</v>
      </c>
    </row>
    <row r="12" spans="1:12" ht="55.2">
      <c r="A12" s="6" t="s">
        <v>184</v>
      </c>
      <c r="B12" s="6" t="s">
        <v>185</v>
      </c>
      <c r="C12" s="6" t="s">
        <v>186</v>
      </c>
      <c r="D12" s="9" t="s">
        <v>45</v>
      </c>
      <c r="E12" s="6" t="s">
        <v>985</v>
      </c>
      <c r="F12" s="6" t="s">
        <v>94</v>
      </c>
      <c r="G12" s="6" t="s">
        <v>187</v>
      </c>
      <c r="H12" s="6" t="s">
        <v>97</v>
      </c>
      <c r="I12" s="6"/>
      <c r="J12" s="9"/>
      <c r="K12" s="9" t="s">
        <v>32</v>
      </c>
      <c r="L12" s="6" t="s">
        <v>189</v>
      </c>
    </row>
    <row r="13" spans="1:12" ht="55.2">
      <c r="A13" s="6" t="s">
        <v>190</v>
      </c>
      <c r="B13" s="6" t="s">
        <v>191</v>
      </c>
      <c r="C13" s="6" t="s">
        <v>192</v>
      </c>
      <c r="D13" s="9" t="s">
        <v>45</v>
      </c>
      <c r="E13" s="6" t="s">
        <v>986</v>
      </c>
      <c r="F13" s="6" t="s">
        <v>94</v>
      </c>
      <c r="G13" s="6" t="s">
        <v>193</v>
      </c>
      <c r="H13" s="6" t="s">
        <v>97</v>
      </c>
      <c r="I13" s="6"/>
      <c r="J13" s="9"/>
      <c r="K13" s="9" t="s">
        <v>32</v>
      </c>
      <c r="L13" s="6" t="s">
        <v>195</v>
      </c>
    </row>
    <row r="14" spans="1:12" ht="55.2">
      <c r="A14" s="6" t="s">
        <v>196</v>
      </c>
      <c r="B14" s="6" t="s">
        <v>197</v>
      </c>
      <c r="C14" s="6" t="s">
        <v>198</v>
      </c>
      <c r="D14" s="9" t="s">
        <v>45</v>
      </c>
      <c r="E14" s="6" t="s">
        <v>987</v>
      </c>
      <c r="F14" s="6" t="s">
        <v>94</v>
      </c>
      <c r="G14" s="6" t="s">
        <v>199</v>
      </c>
      <c r="H14" s="6" t="s">
        <v>97</v>
      </c>
      <c r="I14" s="6"/>
      <c r="J14" s="9"/>
      <c r="K14" s="9" t="s">
        <v>32</v>
      </c>
      <c r="L14" s="6" t="s">
        <v>201</v>
      </c>
    </row>
    <row r="15" spans="1:12" ht="55.2">
      <c r="A15" s="6" t="s">
        <v>202</v>
      </c>
      <c r="B15" s="6" t="s">
        <v>203</v>
      </c>
      <c r="C15" s="6" t="s">
        <v>204</v>
      </c>
      <c r="D15" s="9" t="s">
        <v>45</v>
      </c>
      <c r="E15" s="6" t="s">
        <v>988</v>
      </c>
      <c r="F15" s="6" t="s">
        <v>94</v>
      </c>
      <c r="G15" s="6" t="s">
        <v>205</v>
      </c>
      <c r="H15" s="6" t="s">
        <v>97</v>
      </c>
      <c r="I15" s="6"/>
      <c r="J15" s="9"/>
      <c r="K15" s="9" t="s">
        <v>32</v>
      </c>
      <c r="L15" s="6" t="s">
        <v>207</v>
      </c>
    </row>
    <row r="16" spans="1:12" ht="55.2">
      <c r="A16" s="7" t="s">
        <v>208</v>
      </c>
      <c r="B16" s="7" t="s">
        <v>209</v>
      </c>
      <c r="C16" s="7" t="s">
        <v>210</v>
      </c>
      <c r="D16" s="10" t="s">
        <v>45</v>
      </c>
      <c r="E16" s="7" t="s">
        <v>989</v>
      </c>
      <c r="F16" s="7" t="s">
        <v>94</v>
      </c>
      <c r="G16" s="7" t="s">
        <v>211</v>
      </c>
      <c r="H16" s="7" t="s">
        <v>97</v>
      </c>
      <c r="I16" s="7"/>
      <c r="J16" s="10"/>
      <c r="K16" s="10" t="s">
        <v>32</v>
      </c>
      <c r="L16" s="7" t="s">
        <v>213</v>
      </c>
    </row>
  </sheetData>
  <mergeCells count="1">
    <mergeCell ref="A1:L1"/>
  </mergeCells>
  <conditionalFormatting sqref="J4:J16">
    <cfRule type="containsText" dxfId="16" priority="1" operator="containsText" text="Pass"/>
    <cfRule type="containsText" dxfId="15" priority="2" operator="containsText" text="Fail"/>
  </conditionalFormatting>
  <dataValidations count="2">
    <dataValidation type="list" sqref="J4:J16">
      <formula1>"Not Run,Pass,Fail,Blocked"</formula1>
    </dataValidation>
    <dataValidation type="list" sqref="K4:K16">
      <formula1>"Not specified,Low,Medium,High"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showGridLines="0" workbookViewId="0">
      <pane ySplit="3" topLeftCell="A4" activePane="bottomLeft" state="frozen"/>
      <selection pane="bottomLeft" sqref="A1:L1"/>
    </sheetView>
  </sheetViews>
  <sheetFormatPr defaultRowHeight="13.8"/>
  <cols>
    <col min="1" max="1" width="15" customWidth="1"/>
    <col min="2" max="2" width="23.69921875" customWidth="1"/>
    <col min="3" max="3" width="33.69921875" customWidth="1"/>
    <col min="4" max="4" width="11.19921875" customWidth="1"/>
    <col min="5" max="5" width="28.69921875" customWidth="1"/>
    <col min="6" max="6" width="32.5" customWidth="1"/>
    <col min="7" max="7" width="40" customWidth="1"/>
    <col min="8" max="8" width="37.5" customWidth="1"/>
    <col min="9" max="9" width="20" customWidth="1"/>
    <col min="10" max="10" width="13.69921875" customWidth="1"/>
    <col min="11" max="11" width="14.3984375" customWidth="1"/>
    <col min="12" max="12" width="35" customWidth="1"/>
  </cols>
  <sheetData>
    <row r="1" spans="1:12" ht="30" customHeight="1">
      <c r="A1" s="38" t="s">
        <v>990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3" spans="1:12" ht="27.6">
      <c r="A3" s="2" t="s">
        <v>956</v>
      </c>
      <c r="B3" s="3" t="s">
        <v>957</v>
      </c>
      <c r="C3" s="3" t="s">
        <v>7</v>
      </c>
      <c r="D3" s="3" t="s">
        <v>958</v>
      </c>
      <c r="E3" s="3" t="s">
        <v>959</v>
      </c>
      <c r="F3" s="3" t="s">
        <v>9</v>
      </c>
      <c r="G3" s="3" t="s">
        <v>10</v>
      </c>
      <c r="H3" s="3" t="s">
        <v>12</v>
      </c>
      <c r="I3" s="3" t="s">
        <v>13</v>
      </c>
      <c r="J3" s="3" t="s">
        <v>14</v>
      </c>
      <c r="K3" s="3" t="s">
        <v>15</v>
      </c>
      <c r="L3" s="4" t="s">
        <v>960</v>
      </c>
    </row>
    <row r="4" spans="1:12" ht="27.6">
      <c r="A4" s="5" t="s">
        <v>214</v>
      </c>
      <c r="B4" s="5" t="s">
        <v>216</v>
      </c>
      <c r="C4" s="5" t="s">
        <v>217</v>
      </c>
      <c r="D4" s="8" t="s">
        <v>23</v>
      </c>
      <c r="E4" s="5" t="s">
        <v>991</v>
      </c>
      <c r="F4" s="5" t="s">
        <v>155</v>
      </c>
      <c r="G4" s="5" t="s">
        <v>218</v>
      </c>
      <c r="H4" s="5" t="s">
        <v>220</v>
      </c>
      <c r="I4" s="5"/>
      <c r="J4" s="8"/>
      <c r="K4" s="8" t="s">
        <v>32</v>
      </c>
      <c r="L4" s="5" t="s">
        <v>221</v>
      </c>
    </row>
    <row r="5" spans="1:12" ht="27.6">
      <c r="A5" s="6" t="s">
        <v>222</v>
      </c>
      <c r="B5" s="6" t="s">
        <v>223</v>
      </c>
      <c r="C5" s="6" t="s">
        <v>217</v>
      </c>
      <c r="D5" s="9" t="s">
        <v>23</v>
      </c>
      <c r="E5" s="6" t="s">
        <v>992</v>
      </c>
      <c r="F5" s="6" t="s">
        <v>39</v>
      </c>
      <c r="G5" s="6" t="s">
        <v>224</v>
      </c>
      <c r="H5" s="6" t="s">
        <v>225</v>
      </c>
      <c r="I5" s="6"/>
      <c r="J5" s="9"/>
      <c r="K5" s="9" t="s">
        <v>32</v>
      </c>
      <c r="L5" s="6" t="s">
        <v>226</v>
      </c>
    </row>
    <row r="6" spans="1:12" ht="27.6">
      <c r="A6" s="6" t="s">
        <v>227</v>
      </c>
      <c r="B6" s="6" t="s">
        <v>228</v>
      </c>
      <c r="C6" s="6" t="s">
        <v>229</v>
      </c>
      <c r="D6" s="9" t="s">
        <v>45</v>
      </c>
      <c r="E6" s="6" t="s">
        <v>993</v>
      </c>
      <c r="F6" s="6" t="s">
        <v>230</v>
      </c>
      <c r="G6" s="6" t="s">
        <v>231</v>
      </c>
      <c r="H6" s="6" t="s">
        <v>233</v>
      </c>
      <c r="I6" s="6"/>
      <c r="J6" s="9"/>
      <c r="K6" s="9" t="s">
        <v>32</v>
      </c>
      <c r="L6" s="6" t="s">
        <v>234</v>
      </c>
    </row>
    <row r="7" spans="1:12" ht="27.6">
      <c r="A7" s="6" t="s">
        <v>235</v>
      </c>
      <c r="B7" s="6" t="s">
        <v>236</v>
      </c>
      <c r="C7" s="6" t="s">
        <v>237</v>
      </c>
      <c r="D7" s="9" t="s">
        <v>23</v>
      </c>
      <c r="E7" s="6" t="s">
        <v>994</v>
      </c>
      <c r="F7" s="6" t="s">
        <v>238</v>
      </c>
      <c r="G7" s="6" t="s">
        <v>239</v>
      </c>
      <c r="H7" s="6" t="s">
        <v>68</v>
      </c>
      <c r="I7" s="6"/>
      <c r="J7" s="9"/>
      <c r="K7" s="9" t="s">
        <v>32</v>
      </c>
      <c r="L7" s="6" t="s">
        <v>241</v>
      </c>
    </row>
    <row r="8" spans="1:12" ht="27.6">
      <c r="A8" s="6" t="s">
        <v>242</v>
      </c>
      <c r="B8" s="6" t="s">
        <v>243</v>
      </c>
      <c r="C8" s="6" t="s">
        <v>237</v>
      </c>
      <c r="D8" s="9" t="s">
        <v>23</v>
      </c>
      <c r="E8" s="6" t="s">
        <v>995</v>
      </c>
      <c r="F8" s="6" t="s">
        <v>39</v>
      </c>
      <c r="G8" s="6" t="s">
        <v>244</v>
      </c>
      <c r="H8" s="6" t="s">
        <v>41</v>
      </c>
      <c r="I8" s="6"/>
      <c r="J8" s="9"/>
      <c r="K8" s="9" t="s">
        <v>32</v>
      </c>
      <c r="L8" s="6" t="s">
        <v>245</v>
      </c>
    </row>
    <row r="9" spans="1:12" ht="55.2">
      <c r="A9" s="6" t="s">
        <v>246</v>
      </c>
      <c r="B9" s="6" t="s">
        <v>216</v>
      </c>
      <c r="C9" s="6" t="s">
        <v>217</v>
      </c>
      <c r="D9" s="9" t="s">
        <v>23</v>
      </c>
      <c r="E9" s="6" t="s">
        <v>991</v>
      </c>
      <c r="F9" s="6" t="s">
        <v>155</v>
      </c>
      <c r="G9" s="6" t="s">
        <v>247</v>
      </c>
      <c r="H9" s="6" t="s">
        <v>220</v>
      </c>
      <c r="I9" s="6"/>
      <c r="J9" s="9"/>
      <c r="K9" s="9" t="s">
        <v>32</v>
      </c>
      <c r="L9" s="6" t="s">
        <v>248</v>
      </c>
    </row>
    <row r="10" spans="1:12" ht="55.2">
      <c r="A10" s="6" t="s">
        <v>249</v>
      </c>
      <c r="B10" s="6" t="s">
        <v>250</v>
      </c>
      <c r="C10" s="6" t="s">
        <v>217</v>
      </c>
      <c r="D10" s="9" t="s">
        <v>23</v>
      </c>
      <c r="E10" s="6" t="s">
        <v>996</v>
      </c>
      <c r="F10" s="6" t="s">
        <v>39</v>
      </c>
      <c r="G10" s="6" t="s">
        <v>251</v>
      </c>
      <c r="H10" s="6" t="s">
        <v>252</v>
      </c>
      <c r="I10" s="6"/>
      <c r="J10" s="9"/>
      <c r="K10" s="9" t="s">
        <v>32</v>
      </c>
      <c r="L10" s="6" t="s">
        <v>253</v>
      </c>
    </row>
    <row r="11" spans="1:12" ht="55.2">
      <c r="A11" s="6" t="s">
        <v>254</v>
      </c>
      <c r="B11" s="6" t="s">
        <v>255</v>
      </c>
      <c r="C11" s="6" t="s">
        <v>229</v>
      </c>
      <c r="D11" s="9" t="s">
        <v>55</v>
      </c>
      <c r="E11" s="6" t="s">
        <v>997</v>
      </c>
      <c r="F11" s="6" t="s">
        <v>256</v>
      </c>
      <c r="G11" s="6" t="s">
        <v>257</v>
      </c>
      <c r="H11" s="6" t="s">
        <v>259</v>
      </c>
      <c r="I11" s="6"/>
      <c r="J11" s="9"/>
      <c r="K11" s="9" t="s">
        <v>32</v>
      </c>
      <c r="L11" s="6" t="s">
        <v>260</v>
      </c>
    </row>
    <row r="12" spans="1:12" ht="69">
      <c r="A12" s="6" t="s">
        <v>261</v>
      </c>
      <c r="B12" s="6" t="s">
        <v>236</v>
      </c>
      <c r="C12" s="6" t="s">
        <v>237</v>
      </c>
      <c r="D12" s="9" t="s">
        <v>23</v>
      </c>
      <c r="E12" s="6" t="s">
        <v>994</v>
      </c>
      <c r="F12" s="6" t="s">
        <v>238</v>
      </c>
      <c r="G12" s="6" t="s">
        <v>262</v>
      </c>
      <c r="H12" s="6" t="s">
        <v>68</v>
      </c>
      <c r="I12" s="6"/>
      <c r="J12" s="9"/>
      <c r="K12" s="9" t="s">
        <v>32</v>
      </c>
      <c r="L12" s="6" t="s">
        <v>263</v>
      </c>
    </row>
    <row r="13" spans="1:12" ht="41.4">
      <c r="A13" s="6" t="s">
        <v>264</v>
      </c>
      <c r="B13" s="6" t="s">
        <v>265</v>
      </c>
      <c r="C13" s="6" t="s">
        <v>266</v>
      </c>
      <c r="D13" s="9" t="s">
        <v>55</v>
      </c>
      <c r="E13" s="6" t="s">
        <v>998</v>
      </c>
      <c r="F13" s="6" t="s">
        <v>267</v>
      </c>
      <c r="G13" s="6" t="s">
        <v>268</v>
      </c>
      <c r="H13" s="6" t="s">
        <v>270</v>
      </c>
      <c r="I13" s="6"/>
      <c r="J13" s="9"/>
      <c r="K13" s="9" t="s">
        <v>32</v>
      </c>
      <c r="L13" s="6" t="s">
        <v>271</v>
      </c>
    </row>
    <row r="14" spans="1:12" ht="55.2">
      <c r="A14" s="6" t="s">
        <v>272</v>
      </c>
      <c r="B14" s="6" t="s">
        <v>273</v>
      </c>
      <c r="C14" s="6" t="s">
        <v>274</v>
      </c>
      <c r="D14" s="9" t="s">
        <v>45</v>
      </c>
      <c r="E14" s="6" t="s">
        <v>999</v>
      </c>
      <c r="F14" s="6" t="s">
        <v>94</v>
      </c>
      <c r="G14" s="6" t="s">
        <v>275</v>
      </c>
      <c r="H14" s="6" t="s">
        <v>97</v>
      </c>
      <c r="I14" s="6"/>
      <c r="J14" s="9"/>
      <c r="K14" s="9" t="s">
        <v>32</v>
      </c>
      <c r="L14" s="6" t="s">
        <v>277</v>
      </c>
    </row>
    <row r="15" spans="1:12" ht="55.2">
      <c r="A15" s="6" t="s">
        <v>278</v>
      </c>
      <c r="B15" s="6" t="s">
        <v>279</v>
      </c>
      <c r="C15" s="6" t="s">
        <v>280</v>
      </c>
      <c r="D15" s="9" t="s">
        <v>114</v>
      </c>
      <c r="E15" s="6" t="s">
        <v>1000</v>
      </c>
      <c r="F15" s="6" t="s">
        <v>102</v>
      </c>
      <c r="G15" s="6" t="s">
        <v>281</v>
      </c>
      <c r="H15" s="6" t="s">
        <v>97</v>
      </c>
      <c r="I15" s="6"/>
      <c r="J15" s="9"/>
      <c r="K15" s="9" t="s">
        <v>32</v>
      </c>
      <c r="L15" s="6" t="s">
        <v>283</v>
      </c>
    </row>
    <row r="16" spans="1:12" ht="55.2">
      <c r="A16" s="6" t="s">
        <v>284</v>
      </c>
      <c r="B16" s="6" t="s">
        <v>285</v>
      </c>
      <c r="C16" s="6" t="s">
        <v>237</v>
      </c>
      <c r="D16" s="9" t="s">
        <v>45</v>
      </c>
      <c r="E16" s="6" t="s">
        <v>1001</v>
      </c>
      <c r="F16" s="6" t="s">
        <v>94</v>
      </c>
      <c r="G16" s="6" t="s">
        <v>286</v>
      </c>
      <c r="H16" s="6" t="s">
        <v>97</v>
      </c>
      <c r="I16" s="6"/>
      <c r="J16" s="9"/>
      <c r="K16" s="9" t="s">
        <v>32</v>
      </c>
      <c r="L16" s="6" t="s">
        <v>288</v>
      </c>
    </row>
    <row r="17" spans="1:12" ht="55.2">
      <c r="A17" s="6" t="s">
        <v>289</v>
      </c>
      <c r="B17" s="6" t="s">
        <v>290</v>
      </c>
      <c r="C17" s="6" t="s">
        <v>291</v>
      </c>
      <c r="D17" s="9" t="s">
        <v>45</v>
      </c>
      <c r="E17" s="6" t="s">
        <v>1002</v>
      </c>
      <c r="F17" s="6" t="s">
        <v>94</v>
      </c>
      <c r="G17" s="6" t="s">
        <v>292</v>
      </c>
      <c r="H17" s="6" t="s">
        <v>97</v>
      </c>
      <c r="I17" s="6"/>
      <c r="J17" s="9"/>
      <c r="K17" s="9" t="s">
        <v>32</v>
      </c>
      <c r="L17" s="6" t="s">
        <v>294</v>
      </c>
    </row>
    <row r="18" spans="1:12" ht="55.2">
      <c r="A18" s="7" t="s">
        <v>295</v>
      </c>
      <c r="B18" s="7" t="s">
        <v>296</v>
      </c>
      <c r="C18" s="7" t="s">
        <v>291</v>
      </c>
      <c r="D18" s="10" t="s">
        <v>114</v>
      </c>
      <c r="E18" s="7" t="s">
        <v>1003</v>
      </c>
      <c r="F18" s="7" t="s">
        <v>102</v>
      </c>
      <c r="G18" s="7" t="s">
        <v>292</v>
      </c>
      <c r="H18" s="7" t="s">
        <v>97</v>
      </c>
      <c r="I18" s="7"/>
      <c r="J18" s="10"/>
      <c r="K18" s="10" t="s">
        <v>32</v>
      </c>
      <c r="L18" s="7" t="s">
        <v>298</v>
      </c>
    </row>
  </sheetData>
  <mergeCells count="1">
    <mergeCell ref="A1:L1"/>
  </mergeCells>
  <conditionalFormatting sqref="J4:J18">
    <cfRule type="containsText" dxfId="14" priority="1" operator="containsText" text="Pass"/>
    <cfRule type="containsText" dxfId="13" priority="2" operator="containsText" text="Fail"/>
  </conditionalFormatting>
  <dataValidations count="2">
    <dataValidation type="list" sqref="J4:J18">
      <formula1>"Not Run,Pass,Fail,Blocked"</formula1>
    </dataValidation>
    <dataValidation type="list" sqref="K4:K18">
      <formula1>"Not specified,Low,Medium,High"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"/>
  <sheetViews>
    <sheetView showGridLines="0" workbookViewId="0">
      <pane ySplit="3" topLeftCell="A4" activePane="bottomLeft" state="frozen"/>
      <selection pane="bottomLeft"/>
    </sheetView>
  </sheetViews>
  <sheetFormatPr defaultRowHeight="13.8"/>
  <cols>
    <col min="1" max="1" width="15" customWidth="1"/>
    <col min="2" max="2" width="23.69921875" customWidth="1"/>
    <col min="3" max="3" width="33.69921875" customWidth="1"/>
    <col min="4" max="4" width="11.19921875" customWidth="1"/>
    <col min="5" max="5" width="28.69921875" customWidth="1"/>
    <col min="6" max="6" width="32.5" customWidth="1"/>
    <col min="7" max="7" width="40" customWidth="1"/>
    <col min="8" max="8" width="37.5" customWidth="1"/>
    <col min="9" max="9" width="20" customWidth="1"/>
    <col min="10" max="10" width="13.69921875" customWidth="1"/>
    <col min="11" max="11" width="14.3984375" customWidth="1"/>
    <col min="12" max="12" width="35" customWidth="1"/>
  </cols>
  <sheetData>
    <row r="1" spans="1:12" ht="30" customHeight="1">
      <c r="A1" s="38" t="s">
        <v>1004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3" spans="1:12" ht="27.6">
      <c r="A3" s="2" t="s">
        <v>956</v>
      </c>
      <c r="B3" s="3" t="s">
        <v>957</v>
      </c>
      <c r="C3" s="3" t="s">
        <v>7</v>
      </c>
      <c r="D3" s="3" t="s">
        <v>958</v>
      </c>
      <c r="E3" s="3" t="s">
        <v>959</v>
      </c>
      <c r="F3" s="3" t="s">
        <v>9</v>
      </c>
      <c r="G3" s="3" t="s">
        <v>10</v>
      </c>
      <c r="H3" s="3" t="s">
        <v>12</v>
      </c>
      <c r="I3" s="3" t="s">
        <v>13</v>
      </c>
      <c r="J3" s="3" t="s">
        <v>14</v>
      </c>
      <c r="K3" s="3" t="s">
        <v>15</v>
      </c>
      <c r="L3" s="4" t="s">
        <v>960</v>
      </c>
    </row>
    <row r="4" spans="1:12" ht="27.6">
      <c r="A4" s="5" t="s">
        <v>299</v>
      </c>
      <c r="B4" s="5" t="s">
        <v>300</v>
      </c>
      <c r="C4" s="5" t="s">
        <v>301</v>
      </c>
      <c r="D4" s="8" t="s">
        <v>23</v>
      </c>
      <c r="E4" s="5" t="s">
        <v>1005</v>
      </c>
      <c r="F4" s="5" t="s">
        <v>39</v>
      </c>
      <c r="G4" s="5" t="s">
        <v>302</v>
      </c>
      <c r="H4" s="5" t="s">
        <v>68</v>
      </c>
      <c r="I4" s="5"/>
      <c r="J4" s="8"/>
      <c r="K4" s="8" t="s">
        <v>32</v>
      </c>
      <c r="L4" s="5" t="s">
        <v>304</v>
      </c>
    </row>
    <row r="5" spans="1:12" ht="27.6">
      <c r="A5" s="6" t="s">
        <v>305</v>
      </c>
      <c r="B5" s="6" t="s">
        <v>306</v>
      </c>
      <c r="C5" s="6" t="s">
        <v>307</v>
      </c>
      <c r="D5" s="9" t="s">
        <v>55</v>
      </c>
      <c r="E5" s="6" t="s">
        <v>1006</v>
      </c>
      <c r="F5" s="6" t="s">
        <v>308</v>
      </c>
      <c r="G5" s="6" t="s">
        <v>309</v>
      </c>
      <c r="H5" s="6" t="s">
        <v>311</v>
      </c>
      <c r="I5" s="6"/>
      <c r="J5" s="9"/>
      <c r="K5" s="9" t="s">
        <v>32</v>
      </c>
      <c r="L5" s="6" t="s">
        <v>312</v>
      </c>
    </row>
    <row r="6" spans="1:12" ht="41.4">
      <c r="A6" s="6" t="s">
        <v>313</v>
      </c>
      <c r="B6" s="6" t="s">
        <v>300</v>
      </c>
      <c r="C6" s="6" t="s">
        <v>301</v>
      </c>
      <c r="D6" s="9" t="s">
        <v>23</v>
      </c>
      <c r="E6" s="6" t="s">
        <v>1005</v>
      </c>
      <c r="F6" s="6" t="s">
        <v>39</v>
      </c>
      <c r="G6" s="6" t="s">
        <v>314</v>
      </c>
      <c r="H6" s="6" t="s">
        <v>68</v>
      </c>
      <c r="I6" s="6"/>
      <c r="J6" s="9"/>
      <c r="K6" s="9" t="s">
        <v>32</v>
      </c>
      <c r="L6" s="6" t="s">
        <v>315</v>
      </c>
    </row>
    <row r="7" spans="1:12" ht="55.2">
      <c r="A7" s="6" t="s">
        <v>316</v>
      </c>
      <c r="B7" s="6" t="s">
        <v>317</v>
      </c>
      <c r="C7" s="6" t="s">
        <v>307</v>
      </c>
      <c r="D7" s="9" t="s">
        <v>55</v>
      </c>
      <c r="E7" s="6" t="s">
        <v>1007</v>
      </c>
      <c r="F7" s="6" t="s">
        <v>165</v>
      </c>
      <c r="G7" s="6" t="s">
        <v>318</v>
      </c>
      <c r="H7" s="6" t="s">
        <v>319</v>
      </c>
      <c r="I7" s="6"/>
      <c r="J7" s="9"/>
      <c r="K7" s="9" t="s">
        <v>32</v>
      </c>
      <c r="L7" s="6" t="s">
        <v>320</v>
      </c>
    </row>
    <row r="8" spans="1:12" ht="55.2">
      <c r="A8" s="6" t="s">
        <v>321</v>
      </c>
      <c r="B8" s="6" t="s">
        <v>322</v>
      </c>
      <c r="C8" s="6" t="s">
        <v>323</v>
      </c>
      <c r="D8" s="9" t="s">
        <v>45</v>
      </c>
      <c r="E8" s="6" t="s">
        <v>1008</v>
      </c>
      <c r="F8" s="6" t="s">
        <v>94</v>
      </c>
      <c r="G8" s="6" t="s">
        <v>324</v>
      </c>
      <c r="H8" s="6" t="s">
        <v>97</v>
      </c>
      <c r="I8" s="6"/>
      <c r="J8" s="9"/>
      <c r="K8" s="9" t="s">
        <v>32</v>
      </c>
      <c r="L8" s="6" t="s">
        <v>326</v>
      </c>
    </row>
    <row r="9" spans="1:12" ht="55.2">
      <c r="A9" s="6" t="s">
        <v>327</v>
      </c>
      <c r="B9" s="6" t="s">
        <v>328</v>
      </c>
      <c r="C9" s="6" t="s">
        <v>329</v>
      </c>
      <c r="D9" s="9" t="s">
        <v>45</v>
      </c>
      <c r="E9" s="6" t="s">
        <v>1009</v>
      </c>
      <c r="F9" s="6" t="s">
        <v>94</v>
      </c>
      <c r="G9" s="6" t="s">
        <v>330</v>
      </c>
      <c r="H9" s="6" t="s">
        <v>97</v>
      </c>
      <c r="I9" s="6"/>
      <c r="J9" s="9"/>
      <c r="K9" s="9" t="s">
        <v>32</v>
      </c>
      <c r="L9" s="6" t="s">
        <v>332</v>
      </c>
    </row>
    <row r="10" spans="1:12" ht="55.2">
      <c r="A10" s="7" t="s">
        <v>333</v>
      </c>
      <c r="B10" s="7" t="s">
        <v>334</v>
      </c>
      <c r="C10" s="7" t="s">
        <v>329</v>
      </c>
      <c r="D10" s="10" t="s">
        <v>114</v>
      </c>
      <c r="E10" s="7" t="s">
        <v>1010</v>
      </c>
      <c r="F10" s="7" t="s">
        <v>102</v>
      </c>
      <c r="G10" s="7" t="s">
        <v>330</v>
      </c>
      <c r="H10" s="7" t="s">
        <v>97</v>
      </c>
      <c r="I10" s="7"/>
      <c r="J10" s="10"/>
      <c r="K10" s="10" t="s">
        <v>32</v>
      </c>
      <c r="L10" s="7" t="s">
        <v>336</v>
      </c>
    </row>
  </sheetData>
  <mergeCells count="1">
    <mergeCell ref="A1:L1"/>
  </mergeCells>
  <conditionalFormatting sqref="J4:J10">
    <cfRule type="containsText" dxfId="12" priority="1" operator="containsText" text="Pass"/>
    <cfRule type="containsText" dxfId="11" priority="2" operator="containsText" text="Fail"/>
  </conditionalFormatting>
  <dataValidations count="2">
    <dataValidation type="list" sqref="J4:J10">
      <formula1>"Not Run,Pass,Fail,Blocked"</formula1>
    </dataValidation>
    <dataValidation type="list" sqref="K4:K10">
      <formula1>"Not specified,Low,Medium,High"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"/>
  <sheetViews>
    <sheetView showGridLines="0" workbookViewId="0">
      <pane ySplit="3" topLeftCell="A4" activePane="bottomLeft" state="frozen"/>
      <selection pane="bottomLeft" sqref="A1:L1"/>
    </sheetView>
  </sheetViews>
  <sheetFormatPr defaultRowHeight="13.8"/>
  <cols>
    <col min="1" max="1" width="15" customWidth="1"/>
    <col min="2" max="2" width="23.69921875" customWidth="1"/>
    <col min="3" max="3" width="33.69921875" customWidth="1"/>
    <col min="4" max="4" width="11.19921875" customWidth="1"/>
    <col min="5" max="5" width="28.69921875" customWidth="1"/>
    <col min="6" max="6" width="32.5" customWidth="1"/>
    <col min="7" max="7" width="40" customWidth="1"/>
    <col min="8" max="8" width="37.5" customWidth="1"/>
    <col min="9" max="9" width="20" customWidth="1"/>
    <col min="10" max="10" width="13.69921875" customWidth="1"/>
    <col min="11" max="11" width="14.3984375" customWidth="1"/>
    <col min="12" max="12" width="35" customWidth="1"/>
  </cols>
  <sheetData>
    <row r="1" spans="1:12" ht="30" customHeight="1">
      <c r="A1" s="38" t="s">
        <v>1011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3" spans="1:12" ht="27.6">
      <c r="A3" s="2" t="s">
        <v>956</v>
      </c>
      <c r="B3" s="3" t="s">
        <v>957</v>
      </c>
      <c r="C3" s="3" t="s">
        <v>7</v>
      </c>
      <c r="D3" s="3" t="s">
        <v>958</v>
      </c>
      <c r="E3" s="3" t="s">
        <v>959</v>
      </c>
      <c r="F3" s="3" t="s">
        <v>9</v>
      </c>
      <c r="G3" s="3" t="s">
        <v>10</v>
      </c>
      <c r="H3" s="3" t="s">
        <v>12</v>
      </c>
      <c r="I3" s="3" t="s">
        <v>13</v>
      </c>
      <c r="J3" s="3" t="s">
        <v>14</v>
      </c>
      <c r="K3" s="3" t="s">
        <v>15</v>
      </c>
      <c r="L3" s="4" t="s">
        <v>960</v>
      </c>
    </row>
    <row r="4" spans="1:12" ht="27.6">
      <c r="A4" s="5" t="s">
        <v>337</v>
      </c>
      <c r="B4" s="5" t="s">
        <v>340</v>
      </c>
      <c r="C4" s="5" t="s">
        <v>341</v>
      </c>
      <c r="D4" s="8" t="s">
        <v>45</v>
      </c>
      <c r="E4" s="5" t="s">
        <v>1012</v>
      </c>
      <c r="F4" s="5" t="s">
        <v>342</v>
      </c>
      <c r="G4" s="5" t="s">
        <v>39</v>
      </c>
      <c r="H4" s="5" t="s">
        <v>344</v>
      </c>
      <c r="I4" s="5"/>
      <c r="J4" s="8"/>
      <c r="K4" s="8" t="s">
        <v>32</v>
      </c>
      <c r="L4" s="5" t="s">
        <v>345</v>
      </c>
    </row>
    <row r="5" spans="1:12" ht="27.6">
      <c r="A5" s="6" t="s">
        <v>346</v>
      </c>
      <c r="B5" s="6" t="s">
        <v>347</v>
      </c>
      <c r="C5" s="6" t="s">
        <v>341</v>
      </c>
      <c r="D5" s="9" t="s">
        <v>23</v>
      </c>
      <c r="E5" s="6" t="s">
        <v>1013</v>
      </c>
      <c r="F5" s="6" t="s">
        <v>348</v>
      </c>
      <c r="G5" s="6" t="s">
        <v>349</v>
      </c>
      <c r="H5" s="6" t="s">
        <v>68</v>
      </c>
      <c r="I5" s="6"/>
      <c r="J5" s="9"/>
      <c r="K5" s="9" t="s">
        <v>32</v>
      </c>
      <c r="L5" s="6" t="s">
        <v>351</v>
      </c>
    </row>
    <row r="6" spans="1:12" ht="27.6">
      <c r="A6" s="6" t="s">
        <v>352</v>
      </c>
      <c r="B6" s="6" t="s">
        <v>353</v>
      </c>
      <c r="C6" s="6" t="s">
        <v>341</v>
      </c>
      <c r="D6" s="9" t="s">
        <v>23</v>
      </c>
      <c r="E6" s="6" t="s">
        <v>1014</v>
      </c>
      <c r="F6" s="6" t="s">
        <v>354</v>
      </c>
      <c r="G6" s="6" t="s">
        <v>355</v>
      </c>
      <c r="H6" s="6" t="s">
        <v>356</v>
      </c>
      <c r="I6" s="6"/>
      <c r="J6" s="9"/>
      <c r="K6" s="9" t="s">
        <v>32</v>
      </c>
      <c r="L6" s="6" t="s">
        <v>357</v>
      </c>
    </row>
    <row r="7" spans="1:12" ht="96.6">
      <c r="A7" s="6" t="s">
        <v>358</v>
      </c>
      <c r="B7" s="6" t="s">
        <v>347</v>
      </c>
      <c r="C7" s="6" t="s">
        <v>341</v>
      </c>
      <c r="D7" s="9" t="s">
        <v>23</v>
      </c>
      <c r="E7" s="6" t="s">
        <v>1015</v>
      </c>
      <c r="F7" s="6" t="s">
        <v>359</v>
      </c>
      <c r="G7" s="6" t="s">
        <v>360</v>
      </c>
      <c r="H7" s="6" t="s">
        <v>361</v>
      </c>
      <c r="I7" s="6"/>
      <c r="J7" s="9"/>
      <c r="K7" s="9" t="s">
        <v>32</v>
      </c>
      <c r="L7" s="6" t="s">
        <v>362</v>
      </c>
    </row>
    <row r="8" spans="1:12" ht="27.6">
      <c r="A8" s="6" t="s">
        <v>363</v>
      </c>
      <c r="B8" s="6" t="s">
        <v>364</v>
      </c>
      <c r="C8" s="6" t="s">
        <v>365</v>
      </c>
      <c r="D8" s="9" t="s">
        <v>55</v>
      </c>
      <c r="E8" s="6" t="s">
        <v>1016</v>
      </c>
      <c r="F8" s="6" t="s">
        <v>366</v>
      </c>
      <c r="G8" s="6" t="s">
        <v>367</v>
      </c>
      <c r="H8" s="6" t="s">
        <v>259</v>
      </c>
      <c r="I8" s="6"/>
      <c r="J8" s="9"/>
      <c r="K8" s="9" t="s">
        <v>32</v>
      </c>
      <c r="L8" s="6" t="s">
        <v>369</v>
      </c>
    </row>
    <row r="9" spans="1:12" ht="41.4">
      <c r="A9" s="6" t="s">
        <v>370</v>
      </c>
      <c r="B9" s="6" t="s">
        <v>371</v>
      </c>
      <c r="C9" s="6" t="s">
        <v>365</v>
      </c>
      <c r="D9" s="9" t="s">
        <v>55</v>
      </c>
      <c r="E9" s="6" t="s">
        <v>1017</v>
      </c>
      <c r="F9" s="6" t="s">
        <v>366</v>
      </c>
      <c r="G9" s="6" t="s">
        <v>372</v>
      </c>
      <c r="H9" s="6" t="s">
        <v>373</v>
      </c>
      <c r="I9" s="6"/>
      <c r="J9" s="9"/>
      <c r="K9" s="9" t="s">
        <v>32</v>
      </c>
      <c r="L9" s="6" t="s">
        <v>374</v>
      </c>
    </row>
    <row r="10" spans="1:12" ht="55.2">
      <c r="A10" s="7" t="s">
        <v>375</v>
      </c>
      <c r="B10" s="7" t="s">
        <v>376</v>
      </c>
      <c r="C10" s="7" t="s">
        <v>377</v>
      </c>
      <c r="D10" s="10" t="s">
        <v>45</v>
      </c>
      <c r="E10" s="7" t="s">
        <v>1018</v>
      </c>
      <c r="F10" s="7" t="s">
        <v>94</v>
      </c>
      <c r="G10" s="7" t="s">
        <v>378</v>
      </c>
      <c r="H10" s="7" t="s">
        <v>97</v>
      </c>
      <c r="I10" s="7"/>
      <c r="J10" s="10"/>
      <c r="K10" s="10" t="s">
        <v>32</v>
      </c>
      <c r="L10" s="7" t="s">
        <v>380</v>
      </c>
    </row>
  </sheetData>
  <mergeCells count="1">
    <mergeCell ref="A1:L1"/>
  </mergeCells>
  <conditionalFormatting sqref="J4:J10">
    <cfRule type="containsText" dxfId="10" priority="1" operator="containsText" text="Pass"/>
    <cfRule type="containsText" dxfId="9" priority="2" operator="containsText" text="Fail"/>
  </conditionalFormatting>
  <dataValidations count="2">
    <dataValidation type="list" sqref="J4:J10">
      <formula1>"Not Run,Pass,Fail,Blocked"</formula1>
    </dataValidation>
    <dataValidation type="list" sqref="K4:K10">
      <formula1>"Not specified,Low,Medium,High"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showGridLines="0" zoomScale="61" workbookViewId="0">
      <pane ySplit="3" topLeftCell="A11" activePane="bottomLeft" state="frozen"/>
      <selection pane="bottomLeft" sqref="A1:L1"/>
    </sheetView>
  </sheetViews>
  <sheetFormatPr defaultRowHeight="13.8"/>
  <cols>
    <col min="1" max="1" width="15" customWidth="1"/>
    <col min="2" max="2" width="23.69921875" customWidth="1"/>
    <col min="3" max="3" width="33.69921875" customWidth="1"/>
    <col min="4" max="4" width="11.19921875" customWidth="1"/>
    <col min="5" max="5" width="28.69921875" customWidth="1"/>
    <col min="6" max="6" width="32.5" customWidth="1"/>
    <col min="7" max="7" width="40" customWidth="1"/>
    <col min="8" max="8" width="37.5" customWidth="1"/>
    <col min="9" max="9" width="20" customWidth="1"/>
    <col min="10" max="10" width="13.69921875" customWidth="1"/>
    <col min="11" max="11" width="14.3984375" customWidth="1"/>
    <col min="12" max="12" width="35" customWidth="1"/>
  </cols>
  <sheetData>
    <row r="1" spans="1:12" ht="30" customHeight="1">
      <c r="A1" s="38" t="s">
        <v>1019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3" spans="1:12" ht="27.6">
      <c r="A3" s="2" t="s">
        <v>956</v>
      </c>
      <c r="B3" s="3" t="s">
        <v>957</v>
      </c>
      <c r="C3" s="3" t="s">
        <v>7</v>
      </c>
      <c r="D3" s="3" t="s">
        <v>958</v>
      </c>
      <c r="E3" s="3" t="s">
        <v>959</v>
      </c>
      <c r="F3" s="3" t="s">
        <v>9</v>
      </c>
      <c r="G3" s="3" t="s">
        <v>10</v>
      </c>
      <c r="H3" s="3" t="s">
        <v>12</v>
      </c>
      <c r="I3" s="3" t="s">
        <v>13</v>
      </c>
      <c r="J3" s="3" t="s">
        <v>14</v>
      </c>
      <c r="K3" s="3" t="s">
        <v>15</v>
      </c>
      <c r="L3" s="4" t="s">
        <v>960</v>
      </c>
    </row>
    <row r="4" spans="1:12" ht="27.6">
      <c r="A4" s="5" t="s">
        <v>381</v>
      </c>
      <c r="B4" s="5" t="s">
        <v>382</v>
      </c>
      <c r="C4" s="5" t="s">
        <v>383</v>
      </c>
      <c r="D4" s="8" t="s">
        <v>23</v>
      </c>
      <c r="E4" s="5" t="s">
        <v>1020</v>
      </c>
      <c r="F4" s="5" t="s">
        <v>384</v>
      </c>
      <c r="G4" s="5" t="s">
        <v>385</v>
      </c>
      <c r="H4" s="5" t="s">
        <v>387</v>
      </c>
      <c r="I4" s="5"/>
      <c r="J4" s="8"/>
      <c r="K4" s="8" t="s">
        <v>32</v>
      </c>
      <c r="L4" s="5" t="s">
        <v>388</v>
      </c>
    </row>
    <row r="5" spans="1:12" ht="27.6">
      <c r="A5" s="6" t="s">
        <v>389</v>
      </c>
      <c r="B5" s="6" t="s">
        <v>390</v>
      </c>
      <c r="C5" s="6" t="s">
        <v>383</v>
      </c>
      <c r="D5" s="9" t="s">
        <v>23</v>
      </c>
      <c r="E5" s="6" t="s">
        <v>1021</v>
      </c>
      <c r="F5" s="6" t="s">
        <v>391</v>
      </c>
      <c r="G5" s="6" t="s">
        <v>392</v>
      </c>
      <c r="H5" s="6" t="s">
        <v>393</v>
      </c>
      <c r="I5" s="6"/>
      <c r="J5" s="9"/>
      <c r="K5" s="9" t="s">
        <v>32</v>
      </c>
      <c r="L5" s="6" t="s">
        <v>394</v>
      </c>
    </row>
    <row r="6" spans="1:12" ht="69">
      <c r="A6" s="6" t="s">
        <v>395</v>
      </c>
      <c r="B6" s="6" t="s">
        <v>382</v>
      </c>
      <c r="C6" s="6" t="s">
        <v>383</v>
      </c>
      <c r="D6" s="9" t="s">
        <v>23</v>
      </c>
      <c r="E6" s="6" t="s">
        <v>1022</v>
      </c>
      <c r="F6" s="6" t="s">
        <v>384</v>
      </c>
      <c r="G6" s="6" t="s">
        <v>396</v>
      </c>
      <c r="H6" s="6" t="s">
        <v>397</v>
      </c>
      <c r="I6" s="6"/>
      <c r="J6" s="9"/>
      <c r="K6" s="9" t="s">
        <v>32</v>
      </c>
      <c r="L6" s="6" t="s">
        <v>398</v>
      </c>
    </row>
    <row r="7" spans="1:12" ht="27.6">
      <c r="A7" s="6" t="s">
        <v>399</v>
      </c>
      <c r="B7" s="6" t="s">
        <v>400</v>
      </c>
      <c r="C7" s="6" t="s">
        <v>383</v>
      </c>
      <c r="D7" s="9" t="s">
        <v>23</v>
      </c>
      <c r="E7" s="6" t="s">
        <v>1023</v>
      </c>
      <c r="F7" s="6" t="s">
        <v>391</v>
      </c>
      <c r="G7" s="6" t="s">
        <v>401</v>
      </c>
      <c r="H7" s="6" t="s">
        <v>402</v>
      </c>
      <c r="I7" s="6"/>
      <c r="J7" s="9"/>
      <c r="K7" s="9" t="s">
        <v>32</v>
      </c>
      <c r="L7" s="6" t="s">
        <v>403</v>
      </c>
    </row>
    <row r="8" spans="1:12" ht="27.6">
      <c r="A8" s="6" t="s">
        <v>404</v>
      </c>
      <c r="B8" s="6" t="s">
        <v>405</v>
      </c>
      <c r="C8" s="6" t="s">
        <v>406</v>
      </c>
      <c r="D8" s="9" t="s">
        <v>23</v>
      </c>
      <c r="E8" s="6" t="s">
        <v>1024</v>
      </c>
      <c r="F8" s="6" t="s">
        <v>407</v>
      </c>
      <c r="G8" s="6" t="s">
        <v>408</v>
      </c>
      <c r="H8" s="6" t="s">
        <v>68</v>
      </c>
      <c r="I8" s="6"/>
      <c r="J8" s="9"/>
      <c r="K8" s="9" t="s">
        <v>32</v>
      </c>
      <c r="L8" s="6" t="s">
        <v>410</v>
      </c>
    </row>
    <row r="9" spans="1:12" ht="41.4">
      <c r="A9" s="6" t="s">
        <v>411</v>
      </c>
      <c r="B9" s="6" t="s">
        <v>412</v>
      </c>
      <c r="C9" s="6" t="s">
        <v>406</v>
      </c>
      <c r="D9" s="9" t="s">
        <v>23</v>
      </c>
      <c r="E9" s="6" t="s">
        <v>1025</v>
      </c>
      <c r="F9" s="6" t="s">
        <v>407</v>
      </c>
      <c r="G9" s="6" t="s">
        <v>413</v>
      </c>
      <c r="H9" s="6" t="s">
        <v>414</v>
      </c>
      <c r="I9" s="6"/>
      <c r="J9" s="9"/>
      <c r="K9" s="9" t="s">
        <v>32</v>
      </c>
      <c r="L9" s="6" t="s">
        <v>415</v>
      </c>
    </row>
    <row r="10" spans="1:12" ht="55.2">
      <c r="A10" s="6" t="s">
        <v>416</v>
      </c>
      <c r="B10" s="6" t="s">
        <v>405</v>
      </c>
      <c r="C10" s="6" t="s">
        <v>406</v>
      </c>
      <c r="D10" s="9" t="s">
        <v>23</v>
      </c>
      <c r="E10" s="6" t="s">
        <v>1024</v>
      </c>
      <c r="F10" s="6" t="s">
        <v>407</v>
      </c>
      <c r="G10" s="6" t="s">
        <v>417</v>
      </c>
      <c r="H10" s="6" t="s">
        <v>68</v>
      </c>
      <c r="I10" s="6"/>
      <c r="J10" s="9"/>
      <c r="K10" s="9" t="s">
        <v>32</v>
      </c>
      <c r="L10" s="6" t="s">
        <v>418</v>
      </c>
    </row>
    <row r="11" spans="1:12" ht="55.2">
      <c r="A11" s="6" t="s">
        <v>419</v>
      </c>
      <c r="B11" s="6" t="s">
        <v>420</v>
      </c>
      <c r="C11" s="6" t="s">
        <v>406</v>
      </c>
      <c r="D11" s="9" t="s">
        <v>23</v>
      </c>
      <c r="E11" s="6" t="s">
        <v>1026</v>
      </c>
      <c r="F11" s="6" t="s">
        <v>407</v>
      </c>
      <c r="G11" s="6" t="s">
        <v>421</v>
      </c>
      <c r="H11" s="6" t="s">
        <v>422</v>
      </c>
      <c r="I11" s="6"/>
      <c r="J11" s="9"/>
      <c r="K11" s="9" t="s">
        <v>32</v>
      </c>
      <c r="L11" s="6" t="s">
        <v>423</v>
      </c>
    </row>
    <row r="12" spans="1:12" ht="41.4">
      <c r="A12" s="6" t="s">
        <v>424</v>
      </c>
      <c r="B12" s="6" t="s">
        <v>425</v>
      </c>
      <c r="C12" s="6" t="s">
        <v>426</v>
      </c>
      <c r="D12" s="9" t="s">
        <v>55</v>
      </c>
      <c r="E12" s="6" t="s">
        <v>1027</v>
      </c>
      <c r="F12" s="6" t="s">
        <v>427</v>
      </c>
      <c r="G12" s="6" t="s">
        <v>428</v>
      </c>
      <c r="H12" s="6" t="s">
        <v>259</v>
      </c>
      <c r="I12" s="6"/>
      <c r="J12" s="9"/>
      <c r="K12" s="9" t="s">
        <v>32</v>
      </c>
      <c r="L12" s="6" t="s">
        <v>430</v>
      </c>
    </row>
    <row r="13" spans="1:12" ht="27.6">
      <c r="A13" s="6" t="s">
        <v>431</v>
      </c>
      <c r="B13" s="6" t="s">
        <v>432</v>
      </c>
      <c r="C13" s="6" t="s">
        <v>426</v>
      </c>
      <c r="D13" s="9" t="s">
        <v>55</v>
      </c>
      <c r="E13" s="6" t="s">
        <v>1028</v>
      </c>
      <c r="F13" s="6" t="s">
        <v>427</v>
      </c>
      <c r="G13" s="6" t="s">
        <v>433</v>
      </c>
      <c r="H13" s="6" t="s">
        <v>434</v>
      </c>
      <c r="I13" s="6"/>
      <c r="J13" s="9"/>
      <c r="K13" s="9" t="s">
        <v>32</v>
      </c>
      <c r="L13" s="6" t="s">
        <v>435</v>
      </c>
    </row>
    <row r="14" spans="1:12" ht="55.2">
      <c r="A14" s="6" t="s">
        <v>436</v>
      </c>
      <c r="B14" s="6" t="s">
        <v>437</v>
      </c>
      <c r="C14" s="6" t="s">
        <v>406</v>
      </c>
      <c r="D14" s="9" t="s">
        <v>45</v>
      </c>
      <c r="E14" s="6" t="s">
        <v>1029</v>
      </c>
      <c r="F14" s="6" t="s">
        <v>94</v>
      </c>
      <c r="G14" s="6" t="s">
        <v>438</v>
      </c>
      <c r="H14" s="6" t="s">
        <v>97</v>
      </c>
      <c r="I14" s="6"/>
      <c r="J14" s="9"/>
      <c r="K14" s="9" t="s">
        <v>32</v>
      </c>
      <c r="L14" s="6" t="s">
        <v>440</v>
      </c>
    </row>
    <row r="15" spans="1:12" ht="55.2">
      <c r="A15" s="6" t="s">
        <v>441</v>
      </c>
      <c r="B15" s="6" t="s">
        <v>442</v>
      </c>
      <c r="C15" s="6" t="s">
        <v>443</v>
      </c>
      <c r="D15" s="9" t="s">
        <v>45</v>
      </c>
      <c r="E15" s="6" t="s">
        <v>1030</v>
      </c>
      <c r="F15" s="6" t="s">
        <v>94</v>
      </c>
      <c r="G15" s="6" t="s">
        <v>444</v>
      </c>
      <c r="H15" s="6" t="s">
        <v>97</v>
      </c>
      <c r="I15" s="6"/>
      <c r="J15" s="9"/>
      <c r="K15" s="9" t="s">
        <v>32</v>
      </c>
      <c r="L15" s="6" t="s">
        <v>446</v>
      </c>
    </row>
    <row r="16" spans="1:12" ht="55.2">
      <c r="A16" s="6" t="s">
        <v>447</v>
      </c>
      <c r="B16" s="6" t="s">
        <v>448</v>
      </c>
      <c r="C16" s="6" t="s">
        <v>449</v>
      </c>
      <c r="D16" s="9" t="s">
        <v>45</v>
      </c>
      <c r="E16" s="6" t="s">
        <v>1031</v>
      </c>
      <c r="F16" s="6" t="s">
        <v>94</v>
      </c>
      <c r="G16" s="6" t="s">
        <v>450</v>
      </c>
      <c r="H16" s="6" t="s">
        <v>97</v>
      </c>
      <c r="I16" s="6"/>
      <c r="J16" s="9"/>
      <c r="K16" s="9" t="s">
        <v>32</v>
      </c>
      <c r="L16" s="6" t="s">
        <v>452</v>
      </c>
    </row>
    <row r="17" spans="1:12" ht="55.2">
      <c r="A17" s="6" t="s">
        <v>453</v>
      </c>
      <c r="B17" s="6" t="s">
        <v>454</v>
      </c>
      <c r="C17" s="6" t="s">
        <v>449</v>
      </c>
      <c r="D17" s="9" t="s">
        <v>114</v>
      </c>
      <c r="E17" s="6" t="s">
        <v>1032</v>
      </c>
      <c r="F17" s="6" t="s">
        <v>102</v>
      </c>
      <c r="G17" s="6" t="s">
        <v>450</v>
      </c>
      <c r="H17" s="6" t="s">
        <v>97</v>
      </c>
      <c r="I17" s="6"/>
      <c r="J17" s="9"/>
      <c r="K17" s="9" t="s">
        <v>32</v>
      </c>
      <c r="L17" s="6" t="s">
        <v>456</v>
      </c>
    </row>
    <row r="18" spans="1:12" ht="55.2">
      <c r="A18" s="6" t="s">
        <v>457</v>
      </c>
      <c r="B18" s="6" t="s">
        <v>458</v>
      </c>
      <c r="C18" s="6" t="s">
        <v>459</v>
      </c>
      <c r="D18" s="9" t="s">
        <v>45</v>
      </c>
      <c r="E18" s="6" t="s">
        <v>1033</v>
      </c>
      <c r="F18" s="6" t="s">
        <v>94</v>
      </c>
      <c r="G18" s="6" t="s">
        <v>460</v>
      </c>
      <c r="H18" s="6" t="s">
        <v>97</v>
      </c>
      <c r="I18" s="6"/>
      <c r="J18" s="9"/>
      <c r="K18" s="9" t="s">
        <v>32</v>
      </c>
      <c r="L18" s="6" t="s">
        <v>462</v>
      </c>
    </row>
    <row r="19" spans="1:12" ht="55.2">
      <c r="A19" s="6" t="s">
        <v>463</v>
      </c>
      <c r="B19" s="6" t="s">
        <v>464</v>
      </c>
      <c r="C19" s="6" t="s">
        <v>465</v>
      </c>
      <c r="D19" s="9" t="s">
        <v>45</v>
      </c>
      <c r="E19" s="6" t="s">
        <v>1034</v>
      </c>
      <c r="F19" s="6" t="s">
        <v>94</v>
      </c>
      <c r="G19" s="6" t="s">
        <v>466</v>
      </c>
      <c r="H19" s="6" t="s">
        <v>97</v>
      </c>
      <c r="I19" s="6"/>
      <c r="J19" s="9"/>
      <c r="K19" s="9" t="s">
        <v>32</v>
      </c>
      <c r="L19" s="6" t="s">
        <v>468</v>
      </c>
    </row>
    <row r="20" spans="1:12" ht="55.2">
      <c r="A20" s="6" t="s">
        <v>469</v>
      </c>
      <c r="B20" s="6" t="s">
        <v>470</v>
      </c>
      <c r="C20" s="6" t="s">
        <v>459</v>
      </c>
      <c r="D20" s="9" t="s">
        <v>23</v>
      </c>
      <c r="E20" s="6" t="s">
        <v>1035</v>
      </c>
      <c r="F20" s="6" t="s">
        <v>102</v>
      </c>
      <c r="G20" s="6" t="s">
        <v>471</v>
      </c>
      <c r="H20" s="6" t="s">
        <v>97</v>
      </c>
      <c r="I20" s="6"/>
      <c r="J20" s="9"/>
      <c r="K20" s="9" t="s">
        <v>32</v>
      </c>
      <c r="L20" s="6" t="s">
        <v>473</v>
      </c>
    </row>
    <row r="21" spans="1:12" ht="69">
      <c r="A21" s="6" t="s">
        <v>474</v>
      </c>
      <c r="B21" s="6" t="s">
        <v>475</v>
      </c>
      <c r="C21" s="6" t="s">
        <v>476</v>
      </c>
      <c r="D21" s="9" t="s">
        <v>55</v>
      </c>
      <c r="E21" s="6" t="s">
        <v>1036</v>
      </c>
      <c r="F21" s="6" t="s">
        <v>102</v>
      </c>
      <c r="G21" s="6" t="s">
        <v>477</v>
      </c>
      <c r="H21" s="6" t="s">
        <v>97</v>
      </c>
      <c r="I21" s="6"/>
      <c r="J21" s="9"/>
      <c r="K21" s="9" t="s">
        <v>32</v>
      </c>
      <c r="L21" s="6" t="s">
        <v>479</v>
      </c>
    </row>
    <row r="22" spans="1:12" ht="55.2">
      <c r="A22" s="7" t="s">
        <v>480</v>
      </c>
      <c r="B22" s="7" t="s">
        <v>481</v>
      </c>
      <c r="C22" s="7" t="s">
        <v>476</v>
      </c>
      <c r="D22" s="10" t="s">
        <v>114</v>
      </c>
      <c r="E22" s="7" t="s">
        <v>1037</v>
      </c>
      <c r="F22" s="7" t="s">
        <v>102</v>
      </c>
      <c r="G22" s="7" t="s">
        <v>482</v>
      </c>
      <c r="H22" s="7" t="s">
        <v>97</v>
      </c>
      <c r="I22" s="7"/>
      <c r="J22" s="10"/>
      <c r="K22" s="10" t="s">
        <v>32</v>
      </c>
      <c r="L22" s="7" t="s">
        <v>484</v>
      </c>
    </row>
  </sheetData>
  <mergeCells count="1">
    <mergeCell ref="A1:L1"/>
  </mergeCells>
  <conditionalFormatting sqref="J4:J22">
    <cfRule type="containsText" dxfId="8" priority="1" operator="containsText" text="Pass"/>
    <cfRule type="containsText" dxfId="7" priority="2" operator="containsText" text="Fail"/>
  </conditionalFormatting>
  <dataValidations count="2">
    <dataValidation type="list" sqref="J4:J22">
      <formula1>"Not Run,Pass,Fail,Blocked"</formula1>
    </dataValidation>
    <dataValidation type="list" sqref="K4:K22">
      <formula1>"Not specified,Low,Medium,High"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3"/>
  <sheetViews>
    <sheetView showGridLines="0" tabSelected="1" workbookViewId="0">
      <pane ySplit="3" topLeftCell="A4" activePane="bottomLeft" state="frozen"/>
      <selection pane="bottomLeft" sqref="A1:L1"/>
    </sheetView>
  </sheetViews>
  <sheetFormatPr defaultRowHeight="13.8"/>
  <cols>
    <col min="1" max="1" width="15" customWidth="1"/>
    <col min="2" max="2" width="23.69921875" customWidth="1"/>
    <col min="3" max="3" width="33.69921875" customWidth="1"/>
    <col min="4" max="4" width="11.19921875" customWidth="1"/>
    <col min="5" max="5" width="28.69921875" customWidth="1"/>
    <col min="6" max="6" width="32.5" customWidth="1"/>
    <col min="7" max="7" width="40" customWidth="1"/>
    <col min="8" max="8" width="37.5" customWidth="1"/>
    <col min="9" max="9" width="20" customWidth="1"/>
    <col min="10" max="10" width="13.69921875" customWidth="1"/>
    <col min="11" max="11" width="14.3984375" customWidth="1"/>
    <col min="12" max="12" width="35" customWidth="1"/>
  </cols>
  <sheetData>
    <row r="1" spans="1:12" ht="30" customHeight="1">
      <c r="A1" s="38" t="s">
        <v>1038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3" spans="1:12" ht="27.6">
      <c r="A3" s="2" t="s">
        <v>956</v>
      </c>
      <c r="B3" s="3" t="s">
        <v>957</v>
      </c>
      <c r="C3" s="3" t="s">
        <v>7</v>
      </c>
      <c r="D3" s="3" t="s">
        <v>958</v>
      </c>
      <c r="E3" s="3" t="s">
        <v>959</v>
      </c>
      <c r="F3" s="3" t="s">
        <v>9</v>
      </c>
      <c r="G3" s="3" t="s">
        <v>10</v>
      </c>
      <c r="H3" s="3" t="s">
        <v>12</v>
      </c>
      <c r="I3" s="3" t="s">
        <v>13</v>
      </c>
      <c r="J3" s="3" t="s">
        <v>14</v>
      </c>
      <c r="K3" s="3" t="s">
        <v>15</v>
      </c>
      <c r="L3" s="4" t="s">
        <v>960</v>
      </c>
    </row>
    <row r="4" spans="1:12" ht="27.6">
      <c r="A4" s="5" t="s">
        <v>485</v>
      </c>
      <c r="B4" s="5" t="s">
        <v>486</v>
      </c>
      <c r="C4" s="5" t="s">
        <v>487</v>
      </c>
      <c r="D4" s="8" t="s">
        <v>23</v>
      </c>
      <c r="E4" s="5" t="s">
        <v>1039</v>
      </c>
      <c r="F4" s="5" t="s">
        <v>488</v>
      </c>
      <c r="G4" s="5" t="s">
        <v>489</v>
      </c>
      <c r="H4" s="5" t="s">
        <v>491</v>
      </c>
      <c r="I4" s="5"/>
      <c r="J4" s="8"/>
      <c r="K4" s="8" t="s">
        <v>32</v>
      </c>
      <c r="L4" s="5" t="s">
        <v>492</v>
      </c>
    </row>
    <row r="5" spans="1:12" ht="27.6">
      <c r="A5" s="6" t="s">
        <v>493</v>
      </c>
      <c r="B5" s="6" t="s">
        <v>494</v>
      </c>
      <c r="C5" s="6" t="s">
        <v>487</v>
      </c>
      <c r="D5" s="9" t="s">
        <v>23</v>
      </c>
      <c r="E5" s="6" t="s">
        <v>1040</v>
      </c>
      <c r="F5" s="6" t="s">
        <v>39</v>
      </c>
      <c r="G5" s="6" t="s">
        <v>495</v>
      </c>
      <c r="H5" s="6" t="s">
        <v>41</v>
      </c>
      <c r="I5" s="6"/>
      <c r="J5" s="9"/>
      <c r="K5" s="9" t="s">
        <v>32</v>
      </c>
      <c r="L5" s="6" t="s">
        <v>496</v>
      </c>
    </row>
    <row r="6" spans="1:12" ht="27.6">
      <c r="A6" s="6" t="s">
        <v>497</v>
      </c>
      <c r="B6" s="6" t="s">
        <v>498</v>
      </c>
      <c r="C6" s="6" t="s">
        <v>499</v>
      </c>
      <c r="D6" s="9" t="s">
        <v>55</v>
      </c>
      <c r="E6" s="6" t="s">
        <v>1041</v>
      </c>
      <c r="F6" s="6" t="s">
        <v>500</v>
      </c>
      <c r="G6" s="6" t="s">
        <v>501</v>
      </c>
      <c r="H6" s="6" t="s">
        <v>503</v>
      </c>
      <c r="I6" s="6"/>
      <c r="J6" s="9"/>
      <c r="K6" s="9" t="s">
        <v>32</v>
      </c>
      <c r="L6" s="6" t="s">
        <v>504</v>
      </c>
    </row>
    <row r="7" spans="1:12" ht="27.6">
      <c r="A7" s="6" t="s">
        <v>505</v>
      </c>
      <c r="B7" s="6" t="s">
        <v>506</v>
      </c>
      <c r="C7" s="6" t="s">
        <v>507</v>
      </c>
      <c r="D7" s="9" t="s">
        <v>23</v>
      </c>
      <c r="E7" s="6" t="s">
        <v>1042</v>
      </c>
      <c r="F7" s="6" t="s">
        <v>508</v>
      </c>
      <c r="G7" s="6" t="s">
        <v>509</v>
      </c>
      <c r="H7" s="6" t="s">
        <v>68</v>
      </c>
      <c r="I7" s="6"/>
      <c r="J7" s="9"/>
      <c r="K7" s="9" t="s">
        <v>32</v>
      </c>
      <c r="L7" s="6" t="s">
        <v>511</v>
      </c>
    </row>
    <row r="8" spans="1:12" ht="41.4">
      <c r="A8" s="6" t="s">
        <v>512</v>
      </c>
      <c r="B8" s="6" t="s">
        <v>513</v>
      </c>
      <c r="C8" s="6" t="s">
        <v>514</v>
      </c>
      <c r="D8" s="9" t="s">
        <v>55</v>
      </c>
      <c r="E8" s="6" t="s">
        <v>1043</v>
      </c>
      <c r="F8" s="6" t="s">
        <v>515</v>
      </c>
      <c r="G8" s="6" t="s">
        <v>516</v>
      </c>
      <c r="H8" s="6" t="s">
        <v>518</v>
      </c>
      <c r="I8" s="6"/>
      <c r="J8" s="9"/>
      <c r="K8" s="9" t="s">
        <v>32</v>
      </c>
      <c r="L8" s="6" t="s">
        <v>519</v>
      </c>
    </row>
    <row r="9" spans="1:12" ht="27.6">
      <c r="A9" s="6" t="s">
        <v>520</v>
      </c>
      <c r="B9" s="6" t="s">
        <v>521</v>
      </c>
      <c r="C9" s="6" t="s">
        <v>522</v>
      </c>
      <c r="D9" s="9" t="s">
        <v>23</v>
      </c>
      <c r="E9" s="6" t="s">
        <v>1044</v>
      </c>
      <c r="F9" s="6" t="s">
        <v>39</v>
      </c>
      <c r="G9" s="6" t="s">
        <v>523</v>
      </c>
      <c r="H9" s="6" t="s">
        <v>68</v>
      </c>
      <c r="I9" s="6"/>
      <c r="J9" s="9"/>
      <c r="K9" s="9" t="s">
        <v>32</v>
      </c>
      <c r="L9" s="6" t="s">
        <v>525</v>
      </c>
    </row>
    <row r="10" spans="1:12" ht="27.6">
      <c r="A10" s="6" t="s">
        <v>526</v>
      </c>
      <c r="B10" s="6" t="s">
        <v>527</v>
      </c>
      <c r="C10" s="6" t="s">
        <v>528</v>
      </c>
      <c r="D10" s="9" t="s">
        <v>23</v>
      </c>
      <c r="E10" s="6" t="s">
        <v>1045</v>
      </c>
      <c r="F10" s="6" t="s">
        <v>529</v>
      </c>
      <c r="G10" s="6" t="s">
        <v>530</v>
      </c>
      <c r="H10" s="6" t="s">
        <v>68</v>
      </c>
      <c r="I10" s="6"/>
      <c r="J10" s="9"/>
      <c r="K10" s="9" t="s">
        <v>32</v>
      </c>
      <c r="L10" s="6" t="s">
        <v>532</v>
      </c>
    </row>
    <row r="11" spans="1:12" ht="27.6">
      <c r="A11" s="6" t="s">
        <v>533</v>
      </c>
      <c r="B11" s="6" t="s">
        <v>534</v>
      </c>
      <c r="C11" s="6" t="s">
        <v>535</v>
      </c>
      <c r="D11" s="9" t="s">
        <v>23</v>
      </c>
      <c r="E11" s="6" t="s">
        <v>1046</v>
      </c>
      <c r="F11" s="6" t="s">
        <v>529</v>
      </c>
      <c r="G11" s="6" t="s">
        <v>536</v>
      </c>
      <c r="H11" s="6" t="s">
        <v>68</v>
      </c>
      <c r="I11" s="6"/>
      <c r="J11" s="9"/>
      <c r="K11" s="9" t="s">
        <v>32</v>
      </c>
      <c r="L11" s="6" t="s">
        <v>538</v>
      </c>
    </row>
    <row r="12" spans="1:12" ht="124.2">
      <c r="A12" s="6" t="s">
        <v>539</v>
      </c>
      <c r="B12" s="6" t="s">
        <v>486</v>
      </c>
      <c r="C12" s="6" t="s">
        <v>487</v>
      </c>
      <c r="D12" s="9" t="s">
        <v>23</v>
      </c>
      <c r="E12" s="6" t="s">
        <v>1039</v>
      </c>
      <c r="F12" s="6" t="s">
        <v>540</v>
      </c>
      <c r="G12" s="6" t="s">
        <v>541</v>
      </c>
      <c r="H12" s="6" t="s">
        <v>542</v>
      </c>
      <c r="I12" s="6"/>
      <c r="J12" s="9"/>
      <c r="K12" s="9" t="s">
        <v>32</v>
      </c>
      <c r="L12" s="6" t="s">
        <v>543</v>
      </c>
    </row>
    <row r="13" spans="1:12" ht="55.2">
      <c r="A13" s="6" t="s">
        <v>544</v>
      </c>
      <c r="B13" s="6" t="s">
        <v>545</v>
      </c>
      <c r="C13" s="6" t="s">
        <v>487</v>
      </c>
      <c r="D13" s="9" t="s">
        <v>23</v>
      </c>
      <c r="E13" s="6" t="s">
        <v>1047</v>
      </c>
      <c r="F13" s="6" t="s">
        <v>39</v>
      </c>
      <c r="G13" s="6" t="s">
        <v>546</v>
      </c>
      <c r="H13" s="6" t="s">
        <v>547</v>
      </c>
      <c r="I13" s="6"/>
      <c r="J13" s="9"/>
      <c r="K13" s="9" t="s">
        <v>32</v>
      </c>
      <c r="L13" s="6" t="s">
        <v>548</v>
      </c>
    </row>
    <row r="14" spans="1:12" ht="27.6">
      <c r="A14" s="6" t="s">
        <v>549</v>
      </c>
      <c r="B14" s="6" t="s">
        <v>498</v>
      </c>
      <c r="C14" s="6" t="s">
        <v>499</v>
      </c>
      <c r="D14" s="9" t="s">
        <v>55</v>
      </c>
      <c r="E14" s="6" t="s">
        <v>1048</v>
      </c>
      <c r="F14" s="6" t="s">
        <v>550</v>
      </c>
      <c r="G14" s="6" t="s">
        <v>551</v>
      </c>
      <c r="H14" s="6" t="s">
        <v>552</v>
      </c>
      <c r="I14" s="6"/>
      <c r="J14" s="9"/>
      <c r="K14" s="9" t="s">
        <v>32</v>
      </c>
      <c r="L14" s="6" t="s">
        <v>553</v>
      </c>
    </row>
    <row r="15" spans="1:12" ht="41.4">
      <c r="A15" s="6" t="s">
        <v>554</v>
      </c>
      <c r="B15" s="6" t="s">
        <v>555</v>
      </c>
      <c r="C15" s="6" t="s">
        <v>499</v>
      </c>
      <c r="D15" s="9" t="s">
        <v>55</v>
      </c>
      <c r="E15" s="6" t="s">
        <v>1049</v>
      </c>
      <c r="F15" s="6" t="s">
        <v>550</v>
      </c>
      <c r="G15" s="6" t="s">
        <v>556</v>
      </c>
      <c r="H15" s="6" t="s">
        <v>557</v>
      </c>
      <c r="I15" s="6"/>
      <c r="J15" s="9"/>
      <c r="K15" s="9" t="s">
        <v>32</v>
      </c>
      <c r="L15" s="6" t="s">
        <v>558</v>
      </c>
    </row>
    <row r="16" spans="1:12" ht="55.2">
      <c r="A16" s="6" t="s">
        <v>559</v>
      </c>
      <c r="B16" s="6" t="s">
        <v>506</v>
      </c>
      <c r="C16" s="6" t="s">
        <v>507</v>
      </c>
      <c r="D16" s="9" t="s">
        <v>23</v>
      </c>
      <c r="E16" s="6" t="s">
        <v>1042</v>
      </c>
      <c r="F16" s="6" t="s">
        <v>560</v>
      </c>
      <c r="G16" s="6" t="s">
        <v>561</v>
      </c>
      <c r="H16" s="6" t="s">
        <v>68</v>
      </c>
      <c r="I16" s="6"/>
      <c r="J16" s="9"/>
      <c r="K16" s="9" t="s">
        <v>32</v>
      </c>
      <c r="L16" s="6" t="s">
        <v>562</v>
      </c>
    </row>
    <row r="17" spans="1:12" ht="41.4">
      <c r="A17" s="6" t="s">
        <v>563</v>
      </c>
      <c r="B17" s="6" t="s">
        <v>564</v>
      </c>
      <c r="C17" s="6" t="s">
        <v>507</v>
      </c>
      <c r="D17" s="9" t="s">
        <v>23</v>
      </c>
      <c r="E17" s="6" t="s">
        <v>1050</v>
      </c>
      <c r="F17" s="6" t="s">
        <v>550</v>
      </c>
      <c r="G17" s="6" t="s">
        <v>565</v>
      </c>
      <c r="H17" s="6" t="s">
        <v>566</v>
      </c>
      <c r="I17" s="6"/>
      <c r="J17" s="9"/>
      <c r="K17" s="9" t="s">
        <v>32</v>
      </c>
      <c r="L17" s="6" t="s">
        <v>567</v>
      </c>
    </row>
    <row r="18" spans="1:12" ht="27.6">
      <c r="A18" s="6" t="s">
        <v>568</v>
      </c>
      <c r="B18" s="6" t="s">
        <v>513</v>
      </c>
      <c r="C18" s="6" t="s">
        <v>514</v>
      </c>
      <c r="D18" s="9" t="s">
        <v>55</v>
      </c>
      <c r="E18" s="6" t="s">
        <v>1051</v>
      </c>
      <c r="F18" s="6" t="s">
        <v>569</v>
      </c>
      <c r="G18" s="6" t="s">
        <v>570</v>
      </c>
      <c r="H18" s="6" t="s">
        <v>571</v>
      </c>
      <c r="I18" s="6"/>
      <c r="J18" s="9"/>
      <c r="K18" s="9" t="s">
        <v>32</v>
      </c>
      <c r="L18" s="6" t="s">
        <v>572</v>
      </c>
    </row>
    <row r="19" spans="1:12" ht="55.2">
      <c r="A19" s="6" t="s">
        <v>573</v>
      </c>
      <c r="B19" s="6" t="s">
        <v>574</v>
      </c>
      <c r="C19" s="6" t="s">
        <v>514</v>
      </c>
      <c r="D19" s="9" t="s">
        <v>55</v>
      </c>
      <c r="E19" s="6" t="s">
        <v>1052</v>
      </c>
      <c r="F19" s="6" t="s">
        <v>575</v>
      </c>
      <c r="G19" s="6" t="s">
        <v>576</v>
      </c>
      <c r="H19" s="6" t="s">
        <v>577</v>
      </c>
      <c r="I19" s="6"/>
      <c r="J19" s="9"/>
      <c r="K19" s="9" t="s">
        <v>32</v>
      </c>
      <c r="L19" s="6" t="s">
        <v>578</v>
      </c>
    </row>
    <row r="20" spans="1:12" ht="82.8">
      <c r="A20" s="6" t="s">
        <v>579</v>
      </c>
      <c r="B20" s="6" t="s">
        <v>527</v>
      </c>
      <c r="C20" s="6" t="s">
        <v>528</v>
      </c>
      <c r="D20" s="9" t="s">
        <v>23</v>
      </c>
      <c r="E20" s="6" t="s">
        <v>1045</v>
      </c>
      <c r="F20" s="6" t="s">
        <v>529</v>
      </c>
      <c r="G20" s="6" t="s">
        <v>580</v>
      </c>
      <c r="H20" s="6" t="s">
        <v>68</v>
      </c>
      <c r="I20" s="6"/>
      <c r="J20" s="9"/>
      <c r="K20" s="9" t="s">
        <v>32</v>
      </c>
      <c r="L20" s="6" t="s">
        <v>581</v>
      </c>
    </row>
    <row r="21" spans="1:12" ht="27.6">
      <c r="A21" s="6" t="s">
        <v>582</v>
      </c>
      <c r="B21" s="6" t="s">
        <v>583</v>
      </c>
      <c r="C21" s="6" t="s">
        <v>528</v>
      </c>
      <c r="D21" s="9" t="s">
        <v>23</v>
      </c>
      <c r="E21" s="6" t="s">
        <v>1053</v>
      </c>
      <c r="F21" s="6" t="s">
        <v>529</v>
      </c>
      <c r="G21" s="6" t="s">
        <v>584</v>
      </c>
      <c r="H21" s="6" t="s">
        <v>585</v>
      </c>
      <c r="I21" s="6"/>
      <c r="J21" s="9"/>
      <c r="K21" s="9" t="s">
        <v>32</v>
      </c>
      <c r="L21" s="6" t="s">
        <v>586</v>
      </c>
    </row>
    <row r="22" spans="1:12" ht="69">
      <c r="A22" s="6" t="s">
        <v>587</v>
      </c>
      <c r="B22" s="6" t="s">
        <v>534</v>
      </c>
      <c r="C22" s="6" t="s">
        <v>535</v>
      </c>
      <c r="D22" s="9" t="s">
        <v>23</v>
      </c>
      <c r="E22" s="6" t="s">
        <v>1046</v>
      </c>
      <c r="F22" s="6" t="s">
        <v>529</v>
      </c>
      <c r="G22" s="6" t="s">
        <v>588</v>
      </c>
      <c r="H22" s="6" t="s">
        <v>68</v>
      </c>
      <c r="I22" s="6"/>
      <c r="J22" s="9"/>
      <c r="K22" s="9" t="s">
        <v>32</v>
      </c>
      <c r="L22" s="6" t="s">
        <v>589</v>
      </c>
    </row>
    <row r="23" spans="1:12" ht="55.2">
      <c r="A23" s="6" t="s">
        <v>590</v>
      </c>
      <c r="B23" s="6" t="s">
        <v>591</v>
      </c>
      <c r="C23" s="6" t="s">
        <v>535</v>
      </c>
      <c r="D23" s="9" t="s">
        <v>23</v>
      </c>
      <c r="E23" s="6" t="s">
        <v>1054</v>
      </c>
      <c r="F23" s="6" t="s">
        <v>529</v>
      </c>
      <c r="G23" s="6" t="s">
        <v>592</v>
      </c>
      <c r="H23" s="6" t="s">
        <v>593</v>
      </c>
      <c r="I23" s="6"/>
      <c r="J23" s="9"/>
      <c r="K23" s="9" t="s">
        <v>32</v>
      </c>
      <c r="L23" s="6" t="s">
        <v>594</v>
      </c>
    </row>
    <row r="24" spans="1:12" ht="69">
      <c r="A24" s="6" t="s">
        <v>595</v>
      </c>
      <c r="B24" s="6" t="s">
        <v>521</v>
      </c>
      <c r="C24" s="6" t="s">
        <v>522</v>
      </c>
      <c r="D24" s="9" t="s">
        <v>23</v>
      </c>
      <c r="E24" s="6" t="s">
        <v>1044</v>
      </c>
      <c r="F24" s="6" t="s">
        <v>39</v>
      </c>
      <c r="G24" s="6" t="s">
        <v>596</v>
      </c>
      <c r="H24" s="6" t="s">
        <v>68</v>
      </c>
      <c r="I24" s="6"/>
      <c r="J24" s="9"/>
      <c r="K24" s="9" t="s">
        <v>32</v>
      </c>
      <c r="L24" s="6" t="s">
        <v>597</v>
      </c>
    </row>
    <row r="25" spans="1:12" ht="41.4">
      <c r="A25" s="6" t="s">
        <v>598</v>
      </c>
      <c r="B25" s="6" t="s">
        <v>599</v>
      </c>
      <c r="C25" s="6" t="s">
        <v>522</v>
      </c>
      <c r="D25" s="9" t="s">
        <v>23</v>
      </c>
      <c r="E25" s="6" t="s">
        <v>1055</v>
      </c>
      <c r="F25" s="6" t="s">
        <v>39</v>
      </c>
      <c r="G25" s="6" t="s">
        <v>600</v>
      </c>
      <c r="H25" s="6" t="s">
        <v>601</v>
      </c>
      <c r="I25" s="6"/>
      <c r="J25" s="9"/>
      <c r="K25" s="9" t="s">
        <v>32</v>
      </c>
      <c r="L25" s="6" t="s">
        <v>602</v>
      </c>
    </row>
    <row r="26" spans="1:12" ht="27.6">
      <c r="A26" s="6" t="s">
        <v>603</v>
      </c>
      <c r="B26" s="6" t="s">
        <v>604</v>
      </c>
      <c r="C26" s="6" t="s">
        <v>487</v>
      </c>
      <c r="D26" s="9" t="s">
        <v>23</v>
      </c>
      <c r="E26" s="6" t="s">
        <v>1056</v>
      </c>
      <c r="F26" s="6" t="s">
        <v>605</v>
      </c>
      <c r="G26" s="6" t="s">
        <v>606</v>
      </c>
      <c r="H26" s="6" t="s">
        <v>607</v>
      </c>
      <c r="I26" s="6"/>
      <c r="J26" s="9"/>
      <c r="K26" s="9" t="s">
        <v>32</v>
      </c>
      <c r="L26" s="6" t="s">
        <v>608</v>
      </c>
    </row>
    <row r="27" spans="1:12" ht="55.2">
      <c r="A27" s="6" t="s">
        <v>609</v>
      </c>
      <c r="B27" s="6" t="s">
        <v>610</v>
      </c>
      <c r="C27" s="6" t="s">
        <v>611</v>
      </c>
      <c r="D27" s="9" t="s">
        <v>45</v>
      </c>
      <c r="E27" s="6" t="s">
        <v>1057</v>
      </c>
      <c r="F27" s="6" t="s">
        <v>94</v>
      </c>
      <c r="G27" s="6" t="s">
        <v>612</v>
      </c>
      <c r="H27" s="6" t="s">
        <v>97</v>
      </c>
      <c r="I27" s="6"/>
      <c r="J27" s="9"/>
      <c r="K27" s="9" t="s">
        <v>32</v>
      </c>
      <c r="L27" s="6" t="s">
        <v>614</v>
      </c>
    </row>
    <row r="28" spans="1:12" ht="55.2">
      <c r="A28" s="6" t="s">
        <v>615</v>
      </c>
      <c r="B28" s="6" t="s">
        <v>616</v>
      </c>
      <c r="C28" s="6" t="s">
        <v>617</v>
      </c>
      <c r="D28" s="9" t="s">
        <v>45</v>
      </c>
      <c r="E28" s="6" t="s">
        <v>1058</v>
      </c>
      <c r="F28" s="6" t="s">
        <v>94</v>
      </c>
      <c r="G28" s="6" t="s">
        <v>618</v>
      </c>
      <c r="H28" s="6" t="s">
        <v>97</v>
      </c>
      <c r="I28" s="6"/>
      <c r="J28" s="9"/>
      <c r="K28" s="9" t="s">
        <v>32</v>
      </c>
      <c r="L28" s="6" t="s">
        <v>620</v>
      </c>
    </row>
    <row r="29" spans="1:12" ht="55.2">
      <c r="A29" s="6" t="s">
        <v>621</v>
      </c>
      <c r="B29" s="6" t="s">
        <v>622</v>
      </c>
      <c r="C29" s="6" t="s">
        <v>507</v>
      </c>
      <c r="D29" s="9" t="s">
        <v>45</v>
      </c>
      <c r="E29" s="6" t="s">
        <v>1059</v>
      </c>
      <c r="F29" s="6" t="s">
        <v>94</v>
      </c>
      <c r="G29" s="6" t="s">
        <v>623</v>
      </c>
      <c r="H29" s="6" t="s">
        <v>97</v>
      </c>
      <c r="I29" s="6"/>
      <c r="J29" s="9"/>
      <c r="K29" s="9" t="s">
        <v>32</v>
      </c>
      <c r="L29" s="6" t="s">
        <v>625</v>
      </c>
    </row>
    <row r="30" spans="1:12" ht="55.2">
      <c r="A30" s="6" t="s">
        <v>626</v>
      </c>
      <c r="B30" s="6" t="s">
        <v>627</v>
      </c>
      <c r="C30" s="6" t="s">
        <v>628</v>
      </c>
      <c r="D30" s="9" t="s">
        <v>45</v>
      </c>
      <c r="E30" s="6" t="s">
        <v>1060</v>
      </c>
      <c r="F30" s="6" t="s">
        <v>94</v>
      </c>
      <c r="G30" s="6" t="s">
        <v>629</v>
      </c>
      <c r="H30" s="6" t="s">
        <v>97</v>
      </c>
      <c r="I30" s="6"/>
      <c r="J30" s="9"/>
      <c r="K30" s="9" t="s">
        <v>32</v>
      </c>
      <c r="L30" s="6" t="s">
        <v>631</v>
      </c>
    </row>
    <row r="31" spans="1:12" ht="55.2">
      <c r="A31" s="6" t="s">
        <v>632</v>
      </c>
      <c r="B31" s="6" t="s">
        <v>633</v>
      </c>
      <c r="C31" s="6" t="s">
        <v>528</v>
      </c>
      <c r="D31" s="9" t="s">
        <v>45</v>
      </c>
      <c r="E31" s="6" t="s">
        <v>1061</v>
      </c>
      <c r="F31" s="6" t="s">
        <v>94</v>
      </c>
      <c r="G31" s="6" t="s">
        <v>634</v>
      </c>
      <c r="H31" s="6" t="s">
        <v>97</v>
      </c>
      <c r="I31" s="6"/>
      <c r="J31" s="9"/>
      <c r="K31" s="9" t="s">
        <v>32</v>
      </c>
      <c r="L31" s="6" t="s">
        <v>636</v>
      </c>
    </row>
    <row r="32" spans="1:12" ht="55.2">
      <c r="A32" s="6" t="s">
        <v>637</v>
      </c>
      <c r="B32" s="6" t="s">
        <v>638</v>
      </c>
      <c r="C32" s="6" t="s">
        <v>535</v>
      </c>
      <c r="D32" s="9" t="s">
        <v>45</v>
      </c>
      <c r="E32" s="6" t="s">
        <v>1062</v>
      </c>
      <c r="F32" s="6" t="s">
        <v>94</v>
      </c>
      <c r="G32" s="6" t="s">
        <v>639</v>
      </c>
      <c r="H32" s="6" t="s">
        <v>97</v>
      </c>
      <c r="I32" s="6"/>
      <c r="J32" s="9"/>
      <c r="K32" s="9" t="s">
        <v>32</v>
      </c>
      <c r="L32" s="6" t="s">
        <v>641</v>
      </c>
    </row>
    <row r="33" spans="1:12" ht="55.2">
      <c r="A33" s="7" t="s">
        <v>642</v>
      </c>
      <c r="B33" s="7" t="s">
        <v>643</v>
      </c>
      <c r="C33" s="7" t="s">
        <v>522</v>
      </c>
      <c r="D33" s="10" t="s">
        <v>45</v>
      </c>
      <c r="E33" s="7" t="s">
        <v>1063</v>
      </c>
      <c r="F33" s="7" t="s">
        <v>94</v>
      </c>
      <c r="G33" s="7" t="s">
        <v>644</v>
      </c>
      <c r="H33" s="7" t="s">
        <v>97</v>
      </c>
      <c r="I33" s="7"/>
      <c r="J33" s="10"/>
      <c r="K33" s="10" t="s">
        <v>32</v>
      </c>
      <c r="L33" s="7" t="s">
        <v>646</v>
      </c>
    </row>
  </sheetData>
  <mergeCells count="1">
    <mergeCell ref="A1:L1"/>
  </mergeCells>
  <conditionalFormatting sqref="J4:J33">
    <cfRule type="containsText" dxfId="6" priority="1" operator="containsText" text="Pass"/>
    <cfRule type="containsText" dxfId="5" priority="2" operator="containsText" text="Fail"/>
  </conditionalFormatting>
  <dataValidations count="2">
    <dataValidation type="list" sqref="J4:J33">
      <formula1>"Not Run,Pass,Fail,Blocked"</formula1>
    </dataValidation>
    <dataValidation type="list" sqref="K4:K33">
      <formula1>"Not specified,Low,Medium,High"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showGridLines="0" workbookViewId="0">
      <pane ySplit="3" topLeftCell="A4" activePane="bottomLeft" state="frozen"/>
      <selection pane="bottomLeft" sqref="A1:L1"/>
    </sheetView>
  </sheetViews>
  <sheetFormatPr defaultRowHeight="13.8"/>
  <cols>
    <col min="1" max="1" width="15" customWidth="1"/>
    <col min="2" max="2" width="23.69921875" customWidth="1"/>
    <col min="3" max="3" width="33.69921875" customWidth="1"/>
    <col min="4" max="4" width="11.19921875" customWidth="1"/>
    <col min="5" max="5" width="28.69921875" customWidth="1"/>
    <col min="6" max="6" width="32.5" customWidth="1"/>
    <col min="7" max="7" width="40" customWidth="1"/>
    <col min="8" max="8" width="37.5" customWidth="1"/>
    <col min="9" max="9" width="20" customWidth="1"/>
    <col min="10" max="10" width="13.69921875" customWidth="1"/>
    <col min="11" max="11" width="14.3984375" customWidth="1"/>
    <col min="12" max="12" width="35" customWidth="1"/>
  </cols>
  <sheetData>
    <row r="1" spans="1:12" ht="30" customHeight="1">
      <c r="A1" s="38" t="s">
        <v>1064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3" spans="1:12" ht="27.6">
      <c r="A3" s="2" t="s">
        <v>956</v>
      </c>
      <c r="B3" s="3" t="s">
        <v>957</v>
      </c>
      <c r="C3" s="3" t="s">
        <v>7</v>
      </c>
      <c r="D3" s="3" t="s">
        <v>958</v>
      </c>
      <c r="E3" s="3" t="s">
        <v>959</v>
      </c>
      <c r="F3" s="3" t="s">
        <v>9</v>
      </c>
      <c r="G3" s="3" t="s">
        <v>10</v>
      </c>
      <c r="H3" s="3" t="s">
        <v>12</v>
      </c>
      <c r="I3" s="3" t="s">
        <v>13</v>
      </c>
      <c r="J3" s="3" t="s">
        <v>14</v>
      </c>
      <c r="K3" s="3" t="s">
        <v>15</v>
      </c>
      <c r="L3" s="4" t="s">
        <v>960</v>
      </c>
    </row>
    <row r="4" spans="1:12" ht="27.6">
      <c r="A4" s="5" t="s">
        <v>647</v>
      </c>
      <c r="B4" s="5" t="s">
        <v>649</v>
      </c>
      <c r="C4" s="5" t="s">
        <v>650</v>
      </c>
      <c r="D4" s="8" t="s">
        <v>45</v>
      </c>
      <c r="E4" s="5" t="s">
        <v>1065</v>
      </c>
      <c r="F4" s="5" t="s">
        <v>651</v>
      </c>
      <c r="G4" s="5" t="s">
        <v>652</v>
      </c>
      <c r="H4" s="5" t="s">
        <v>654</v>
      </c>
      <c r="I4" s="5"/>
      <c r="J4" s="8"/>
      <c r="K4" s="8" t="s">
        <v>32</v>
      </c>
      <c r="L4" s="5" t="s">
        <v>655</v>
      </c>
    </row>
    <row r="5" spans="1:12" ht="27.6">
      <c r="A5" s="6" t="s">
        <v>656</v>
      </c>
      <c r="B5" s="6" t="s">
        <v>657</v>
      </c>
      <c r="C5" s="6" t="s">
        <v>658</v>
      </c>
      <c r="D5" s="9" t="s">
        <v>23</v>
      </c>
      <c r="E5" s="6" t="s">
        <v>1066</v>
      </c>
      <c r="F5" s="6" t="s">
        <v>659</v>
      </c>
      <c r="G5" s="6" t="s">
        <v>39</v>
      </c>
      <c r="H5" s="6" t="s">
        <v>220</v>
      </c>
      <c r="I5" s="6"/>
      <c r="J5" s="9"/>
      <c r="K5" s="9" t="s">
        <v>32</v>
      </c>
      <c r="L5" s="6" t="s">
        <v>661</v>
      </c>
    </row>
    <row r="6" spans="1:12" ht="27.6">
      <c r="A6" s="6" t="s">
        <v>662</v>
      </c>
      <c r="B6" s="6" t="s">
        <v>663</v>
      </c>
      <c r="C6" s="6" t="s">
        <v>664</v>
      </c>
      <c r="D6" s="9" t="s">
        <v>45</v>
      </c>
      <c r="E6" s="6" t="s">
        <v>1067</v>
      </c>
      <c r="F6" s="6" t="s">
        <v>665</v>
      </c>
      <c r="G6" s="6" t="s">
        <v>666</v>
      </c>
      <c r="H6" s="6" t="s">
        <v>668</v>
      </c>
      <c r="I6" s="6"/>
      <c r="J6" s="9"/>
      <c r="K6" s="9" t="s">
        <v>32</v>
      </c>
      <c r="L6" s="6" t="s">
        <v>669</v>
      </c>
    </row>
    <row r="7" spans="1:12" ht="27.6">
      <c r="A7" s="6" t="s">
        <v>670</v>
      </c>
      <c r="B7" s="6" t="s">
        <v>671</v>
      </c>
      <c r="C7" s="6" t="s">
        <v>672</v>
      </c>
      <c r="D7" s="9" t="s">
        <v>45</v>
      </c>
      <c r="E7" s="6" t="s">
        <v>1068</v>
      </c>
      <c r="F7" s="6" t="s">
        <v>665</v>
      </c>
      <c r="G7" s="6" t="s">
        <v>673</v>
      </c>
      <c r="H7" s="6" t="s">
        <v>675</v>
      </c>
      <c r="I7" s="6"/>
      <c r="J7" s="9"/>
      <c r="K7" s="9" t="s">
        <v>32</v>
      </c>
      <c r="L7" s="6" t="s">
        <v>676</v>
      </c>
    </row>
    <row r="8" spans="1:12" ht="27.6">
      <c r="A8" s="6" t="s">
        <v>677</v>
      </c>
      <c r="B8" s="6" t="s">
        <v>678</v>
      </c>
      <c r="C8" s="6" t="s">
        <v>679</v>
      </c>
      <c r="D8" s="9" t="s">
        <v>23</v>
      </c>
      <c r="E8" s="6" t="s">
        <v>1069</v>
      </c>
      <c r="F8" s="6" t="s">
        <v>680</v>
      </c>
      <c r="G8" s="6" t="s">
        <v>681</v>
      </c>
      <c r="H8" s="6" t="s">
        <v>683</v>
      </c>
      <c r="I8" s="6"/>
      <c r="J8" s="9"/>
      <c r="K8" s="9" t="s">
        <v>32</v>
      </c>
      <c r="L8" s="6" t="s">
        <v>684</v>
      </c>
    </row>
    <row r="9" spans="1:12" ht="27.6">
      <c r="A9" s="6" t="s">
        <v>685</v>
      </c>
      <c r="B9" s="6" t="s">
        <v>686</v>
      </c>
      <c r="C9" s="6" t="s">
        <v>650</v>
      </c>
      <c r="D9" s="9" t="s">
        <v>45</v>
      </c>
      <c r="E9" s="6" t="s">
        <v>1070</v>
      </c>
      <c r="F9" s="6" t="s">
        <v>687</v>
      </c>
      <c r="G9" s="6" t="s">
        <v>688</v>
      </c>
      <c r="H9" s="6" t="s">
        <v>689</v>
      </c>
      <c r="I9" s="6"/>
      <c r="J9" s="9"/>
      <c r="K9" s="9" t="s">
        <v>32</v>
      </c>
      <c r="L9" s="6" t="s">
        <v>690</v>
      </c>
    </row>
    <row r="10" spans="1:12" ht="27.6">
      <c r="A10" s="6" t="s">
        <v>691</v>
      </c>
      <c r="B10" s="6" t="s">
        <v>692</v>
      </c>
      <c r="C10" s="6" t="s">
        <v>672</v>
      </c>
      <c r="D10" s="9" t="s">
        <v>45</v>
      </c>
      <c r="E10" s="6" t="s">
        <v>1071</v>
      </c>
      <c r="F10" s="6" t="s">
        <v>680</v>
      </c>
      <c r="G10" s="6" t="s">
        <v>693</v>
      </c>
      <c r="H10" s="6" t="s">
        <v>694</v>
      </c>
      <c r="I10" s="6"/>
      <c r="J10" s="9"/>
      <c r="K10" s="9" t="s">
        <v>32</v>
      </c>
      <c r="L10" s="6" t="s">
        <v>695</v>
      </c>
    </row>
    <row r="11" spans="1:12" ht="41.4">
      <c r="A11" s="6" t="s">
        <v>696</v>
      </c>
      <c r="B11" s="6" t="s">
        <v>697</v>
      </c>
      <c r="C11" s="6" t="s">
        <v>679</v>
      </c>
      <c r="D11" s="9" t="s">
        <v>23</v>
      </c>
      <c r="E11" s="6" t="s">
        <v>1072</v>
      </c>
      <c r="F11" s="6" t="s">
        <v>680</v>
      </c>
      <c r="G11" s="6" t="s">
        <v>698</v>
      </c>
      <c r="H11" s="6" t="s">
        <v>699</v>
      </c>
      <c r="I11" s="6"/>
      <c r="J11" s="9"/>
      <c r="K11" s="9" t="s">
        <v>32</v>
      </c>
      <c r="L11" s="6" t="s">
        <v>700</v>
      </c>
    </row>
    <row r="12" spans="1:12" ht="55.2">
      <c r="A12" s="6" t="s">
        <v>701</v>
      </c>
      <c r="B12" s="6" t="s">
        <v>702</v>
      </c>
      <c r="C12" s="6" t="s">
        <v>703</v>
      </c>
      <c r="D12" s="9" t="s">
        <v>45</v>
      </c>
      <c r="E12" s="6" t="s">
        <v>1073</v>
      </c>
      <c r="F12" s="6" t="s">
        <v>680</v>
      </c>
      <c r="G12" s="6" t="s">
        <v>704</v>
      </c>
      <c r="H12" s="6" t="s">
        <v>706</v>
      </c>
      <c r="I12" s="6"/>
      <c r="J12" s="9"/>
      <c r="K12" s="9" t="s">
        <v>32</v>
      </c>
      <c r="L12" s="6" t="s">
        <v>707</v>
      </c>
    </row>
    <row r="13" spans="1:12" ht="41.4">
      <c r="A13" s="6" t="s">
        <v>708</v>
      </c>
      <c r="B13" s="6" t="s">
        <v>709</v>
      </c>
      <c r="C13" s="6" t="s">
        <v>710</v>
      </c>
      <c r="D13" s="9" t="s">
        <v>45</v>
      </c>
      <c r="E13" s="6" t="s">
        <v>1074</v>
      </c>
      <c r="F13" s="6" t="s">
        <v>680</v>
      </c>
      <c r="G13" s="6" t="s">
        <v>711</v>
      </c>
      <c r="H13" s="6" t="s">
        <v>713</v>
      </c>
      <c r="I13" s="6"/>
      <c r="J13" s="9"/>
      <c r="K13" s="9" t="s">
        <v>32</v>
      </c>
      <c r="L13" s="6" t="s">
        <v>714</v>
      </c>
    </row>
    <row r="14" spans="1:12" ht="27.6">
      <c r="A14" s="6" t="s">
        <v>715</v>
      </c>
      <c r="B14" s="6" t="s">
        <v>716</v>
      </c>
      <c r="C14" s="6" t="s">
        <v>650</v>
      </c>
      <c r="D14" s="9" t="s">
        <v>45</v>
      </c>
      <c r="E14" s="6" t="s">
        <v>1075</v>
      </c>
      <c r="F14" s="6" t="s">
        <v>717</v>
      </c>
      <c r="G14" s="6" t="s">
        <v>718</v>
      </c>
      <c r="H14" s="6" t="s">
        <v>719</v>
      </c>
      <c r="I14" s="6"/>
      <c r="J14" s="9"/>
      <c r="K14" s="9" t="s">
        <v>32</v>
      </c>
      <c r="L14" s="6" t="s">
        <v>720</v>
      </c>
    </row>
    <row r="15" spans="1:12" ht="55.2">
      <c r="A15" s="6" t="s">
        <v>721</v>
      </c>
      <c r="B15" s="6" t="s">
        <v>722</v>
      </c>
      <c r="C15" s="6" t="s">
        <v>723</v>
      </c>
      <c r="D15" s="9" t="s">
        <v>45</v>
      </c>
      <c r="E15" s="6" t="s">
        <v>1076</v>
      </c>
      <c r="F15" s="6" t="s">
        <v>94</v>
      </c>
      <c r="G15" s="6" t="s">
        <v>724</v>
      </c>
      <c r="H15" s="6" t="s">
        <v>97</v>
      </c>
      <c r="I15" s="6"/>
      <c r="J15" s="9"/>
      <c r="K15" s="9" t="s">
        <v>32</v>
      </c>
      <c r="L15" s="6" t="s">
        <v>726</v>
      </c>
    </row>
    <row r="16" spans="1:12" ht="55.2">
      <c r="A16" s="6" t="s">
        <v>727</v>
      </c>
      <c r="B16" s="6" t="s">
        <v>728</v>
      </c>
      <c r="C16" s="6" t="s">
        <v>729</v>
      </c>
      <c r="D16" s="9" t="s">
        <v>45</v>
      </c>
      <c r="E16" s="6" t="s">
        <v>1077</v>
      </c>
      <c r="F16" s="6" t="s">
        <v>94</v>
      </c>
      <c r="G16" s="6" t="s">
        <v>730</v>
      </c>
      <c r="H16" s="6" t="s">
        <v>97</v>
      </c>
      <c r="I16" s="6"/>
      <c r="J16" s="9"/>
      <c r="K16" s="9" t="s">
        <v>32</v>
      </c>
      <c r="L16" s="6" t="s">
        <v>732</v>
      </c>
    </row>
    <row r="17" spans="1:12" ht="55.2">
      <c r="A17" s="6" t="s">
        <v>733</v>
      </c>
      <c r="B17" s="6" t="s">
        <v>734</v>
      </c>
      <c r="C17" s="6" t="s">
        <v>735</v>
      </c>
      <c r="D17" s="9" t="s">
        <v>45</v>
      </c>
      <c r="E17" s="6" t="s">
        <v>1078</v>
      </c>
      <c r="F17" s="6" t="s">
        <v>94</v>
      </c>
      <c r="G17" s="6" t="s">
        <v>736</v>
      </c>
      <c r="H17" s="6" t="s">
        <v>97</v>
      </c>
      <c r="I17" s="6"/>
      <c r="J17" s="9"/>
      <c r="K17" s="9" t="s">
        <v>32</v>
      </c>
      <c r="L17" s="6" t="s">
        <v>738</v>
      </c>
    </row>
    <row r="18" spans="1:12" ht="55.2">
      <c r="A18" s="6" t="s">
        <v>739</v>
      </c>
      <c r="B18" s="6" t="s">
        <v>740</v>
      </c>
      <c r="C18" s="6" t="s">
        <v>741</v>
      </c>
      <c r="D18" s="9" t="s">
        <v>45</v>
      </c>
      <c r="E18" s="6" t="s">
        <v>1079</v>
      </c>
      <c r="F18" s="6" t="s">
        <v>94</v>
      </c>
      <c r="G18" s="6" t="s">
        <v>742</v>
      </c>
      <c r="H18" s="6" t="s">
        <v>97</v>
      </c>
      <c r="I18" s="6"/>
      <c r="J18" s="9"/>
      <c r="K18" s="9" t="s">
        <v>32</v>
      </c>
      <c r="L18" s="6" t="s">
        <v>744</v>
      </c>
    </row>
    <row r="19" spans="1:12" ht="55.2">
      <c r="A19" s="6" t="s">
        <v>745</v>
      </c>
      <c r="B19" s="6" t="s">
        <v>746</v>
      </c>
      <c r="C19" s="6" t="s">
        <v>747</v>
      </c>
      <c r="D19" s="9" t="s">
        <v>45</v>
      </c>
      <c r="E19" s="6" t="s">
        <v>1080</v>
      </c>
      <c r="F19" s="6" t="s">
        <v>94</v>
      </c>
      <c r="G19" s="6" t="s">
        <v>748</v>
      </c>
      <c r="H19" s="6" t="s">
        <v>97</v>
      </c>
      <c r="I19" s="6"/>
      <c r="J19" s="9"/>
      <c r="K19" s="9" t="s">
        <v>32</v>
      </c>
      <c r="L19" s="6" t="s">
        <v>750</v>
      </c>
    </row>
    <row r="20" spans="1:12" ht="55.2">
      <c r="A20" s="6" t="s">
        <v>751</v>
      </c>
      <c r="B20" s="6" t="s">
        <v>752</v>
      </c>
      <c r="C20" s="6" t="s">
        <v>753</v>
      </c>
      <c r="D20" s="9" t="s">
        <v>45</v>
      </c>
      <c r="E20" s="6" t="s">
        <v>1081</v>
      </c>
      <c r="F20" s="6" t="s">
        <v>94</v>
      </c>
      <c r="G20" s="6" t="s">
        <v>742</v>
      </c>
      <c r="H20" s="6" t="s">
        <v>97</v>
      </c>
      <c r="I20" s="6"/>
      <c r="J20" s="9"/>
      <c r="K20" s="9" t="s">
        <v>32</v>
      </c>
      <c r="L20" s="6" t="s">
        <v>755</v>
      </c>
    </row>
    <row r="21" spans="1:12" ht="55.2">
      <c r="A21" s="7" t="s">
        <v>756</v>
      </c>
      <c r="B21" s="7" t="s">
        <v>757</v>
      </c>
      <c r="C21" s="7" t="s">
        <v>758</v>
      </c>
      <c r="D21" s="10" t="s">
        <v>45</v>
      </c>
      <c r="E21" s="7" t="s">
        <v>1082</v>
      </c>
      <c r="F21" s="7" t="s">
        <v>94</v>
      </c>
      <c r="G21" s="7" t="s">
        <v>742</v>
      </c>
      <c r="H21" s="7" t="s">
        <v>97</v>
      </c>
      <c r="I21" s="7"/>
      <c r="J21" s="10"/>
      <c r="K21" s="10" t="s">
        <v>32</v>
      </c>
      <c r="L21" s="7" t="s">
        <v>760</v>
      </c>
    </row>
  </sheetData>
  <mergeCells count="1">
    <mergeCell ref="A1:L1"/>
  </mergeCells>
  <conditionalFormatting sqref="J4:J21">
    <cfRule type="containsText" dxfId="4" priority="1" operator="containsText" text="Pass"/>
    <cfRule type="containsText" dxfId="3" priority="2" operator="containsText" text="Fail"/>
  </conditionalFormatting>
  <dataValidations count="2">
    <dataValidation type="list" sqref="J4:J21">
      <formula1>"Not Run,Pass,Fail,Blocked"</formula1>
    </dataValidation>
    <dataValidation type="list" sqref="K4:K21">
      <formula1>"Not specified,Low,Medium,High"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Views>
    <sheetView showGridLines="0" workbookViewId="0">
      <pane ySplit="3" topLeftCell="A4" activePane="bottomLeft" state="frozen"/>
      <selection pane="bottomLeft" sqref="A1:L1"/>
    </sheetView>
  </sheetViews>
  <sheetFormatPr defaultRowHeight="13.8"/>
  <cols>
    <col min="1" max="1" width="15" customWidth="1"/>
    <col min="2" max="2" width="23.69921875" customWidth="1"/>
    <col min="3" max="3" width="33.69921875" customWidth="1"/>
    <col min="4" max="4" width="11.19921875" customWidth="1"/>
    <col min="5" max="5" width="28.69921875" customWidth="1"/>
    <col min="6" max="6" width="32.5" customWidth="1"/>
    <col min="7" max="7" width="40" customWidth="1"/>
    <col min="8" max="8" width="37.5" customWidth="1"/>
    <col min="9" max="9" width="20" customWidth="1"/>
    <col min="10" max="10" width="13.69921875" customWidth="1"/>
    <col min="11" max="11" width="14.3984375" customWidth="1"/>
    <col min="12" max="12" width="35" customWidth="1"/>
  </cols>
  <sheetData>
    <row r="1" spans="1:12" ht="30" customHeight="1">
      <c r="A1" s="38" t="s">
        <v>1083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3" spans="1:12" ht="27.6">
      <c r="A3" s="2" t="s">
        <v>956</v>
      </c>
      <c r="B3" s="3" t="s">
        <v>957</v>
      </c>
      <c r="C3" s="3" t="s">
        <v>7</v>
      </c>
      <c r="D3" s="3" t="s">
        <v>958</v>
      </c>
      <c r="E3" s="3" t="s">
        <v>959</v>
      </c>
      <c r="F3" s="3" t="s">
        <v>9</v>
      </c>
      <c r="G3" s="3" t="s">
        <v>10</v>
      </c>
      <c r="H3" s="3" t="s">
        <v>12</v>
      </c>
      <c r="I3" s="3" t="s">
        <v>13</v>
      </c>
      <c r="J3" s="3" t="s">
        <v>14</v>
      </c>
      <c r="K3" s="3" t="s">
        <v>15</v>
      </c>
      <c r="L3" s="4" t="s">
        <v>960</v>
      </c>
    </row>
    <row r="4" spans="1:12" ht="82.8">
      <c r="A4" s="5" t="s">
        <v>761</v>
      </c>
      <c r="B4" s="5" t="s">
        <v>763</v>
      </c>
      <c r="C4" s="5" t="s">
        <v>764</v>
      </c>
      <c r="D4" s="8" t="s">
        <v>23</v>
      </c>
      <c r="E4" s="5" t="s">
        <v>1084</v>
      </c>
      <c r="F4" s="5" t="s">
        <v>94</v>
      </c>
      <c r="G4" s="5" t="s">
        <v>765</v>
      </c>
      <c r="H4" s="5" t="s">
        <v>97</v>
      </c>
      <c r="I4" s="5"/>
      <c r="J4" s="8"/>
      <c r="K4" s="8" t="s">
        <v>32</v>
      </c>
      <c r="L4" s="5" t="s">
        <v>767</v>
      </c>
    </row>
    <row r="5" spans="1:12" ht="55.2">
      <c r="A5" s="6" t="s">
        <v>768</v>
      </c>
      <c r="B5" s="6" t="s">
        <v>769</v>
      </c>
      <c r="C5" s="6" t="s">
        <v>770</v>
      </c>
      <c r="D5" s="9" t="s">
        <v>23</v>
      </c>
      <c r="E5" s="6" t="s">
        <v>1085</v>
      </c>
      <c r="F5" s="6" t="s">
        <v>94</v>
      </c>
      <c r="G5" s="6" t="s">
        <v>771</v>
      </c>
      <c r="H5" s="6" t="s">
        <v>97</v>
      </c>
      <c r="I5" s="6"/>
      <c r="J5" s="9"/>
      <c r="K5" s="9" t="s">
        <v>32</v>
      </c>
      <c r="L5" s="6" t="s">
        <v>773</v>
      </c>
    </row>
    <row r="6" spans="1:12" ht="55.2">
      <c r="A6" s="6" t="s">
        <v>774</v>
      </c>
      <c r="B6" s="6" t="s">
        <v>775</v>
      </c>
      <c r="C6" s="6" t="s">
        <v>776</v>
      </c>
      <c r="D6" s="9" t="s">
        <v>23</v>
      </c>
      <c r="E6" s="6" t="s">
        <v>1086</v>
      </c>
      <c r="F6" s="6" t="s">
        <v>94</v>
      </c>
      <c r="G6" s="6" t="s">
        <v>771</v>
      </c>
      <c r="H6" s="6" t="s">
        <v>97</v>
      </c>
      <c r="I6" s="6"/>
      <c r="J6" s="9"/>
      <c r="K6" s="9" t="s">
        <v>32</v>
      </c>
      <c r="L6" s="6" t="s">
        <v>778</v>
      </c>
    </row>
    <row r="7" spans="1:12" ht="82.8">
      <c r="A7" s="6" t="s">
        <v>779</v>
      </c>
      <c r="B7" s="6" t="s">
        <v>780</v>
      </c>
      <c r="C7" s="6" t="s">
        <v>781</v>
      </c>
      <c r="D7" s="9" t="s">
        <v>23</v>
      </c>
      <c r="E7" s="6" t="s">
        <v>1087</v>
      </c>
      <c r="F7" s="6" t="s">
        <v>94</v>
      </c>
      <c r="G7" s="6" t="s">
        <v>782</v>
      </c>
      <c r="H7" s="6" t="s">
        <v>97</v>
      </c>
      <c r="I7" s="6"/>
      <c r="J7" s="9"/>
      <c r="K7" s="9" t="s">
        <v>32</v>
      </c>
      <c r="L7" s="6" t="s">
        <v>784</v>
      </c>
    </row>
    <row r="8" spans="1:12" ht="82.8">
      <c r="A8" s="7" t="s">
        <v>785</v>
      </c>
      <c r="B8" s="7" t="s">
        <v>786</v>
      </c>
      <c r="C8" s="7" t="s">
        <v>787</v>
      </c>
      <c r="D8" s="10" t="s">
        <v>23</v>
      </c>
      <c r="E8" s="7" t="s">
        <v>1088</v>
      </c>
      <c r="F8" s="7" t="s">
        <v>94</v>
      </c>
      <c r="G8" s="7" t="s">
        <v>788</v>
      </c>
      <c r="H8" s="7" t="s">
        <v>97</v>
      </c>
      <c r="I8" s="7"/>
      <c r="J8" s="10"/>
      <c r="K8" s="10" t="s">
        <v>32</v>
      </c>
      <c r="L8" s="7" t="s">
        <v>790</v>
      </c>
    </row>
  </sheetData>
  <mergeCells count="1">
    <mergeCell ref="A1:L1"/>
  </mergeCells>
  <conditionalFormatting sqref="J4:J8">
    <cfRule type="containsText" dxfId="2" priority="1" operator="containsText" text="Pass"/>
    <cfRule type="containsText" dxfId="1" priority="2" operator="containsText" text="Fail"/>
  </conditionalFormatting>
  <dataValidations count="2">
    <dataValidation type="list" sqref="J4:J8">
      <formula1>"Not Run,Pass,Fail,Blocked"</formula1>
    </dataValidation>
    <dataValidation type="list" sqref="K4:K8">
      <formula1>"Not specified,Low,Medium,High"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"/>
  <sheetViews>
    <sheetView showGridLines="0" zoomScale="82" workbookViewId="0">
      <pane ySplit="3" topLeftCell="A99" activePane="bottomLeft" state="frozen"/>
      <selection pane="bottomLeft" sqref="A1:E1"/>
    </sheetView>
  </sheetViews>
  <sheetFormatPr defaultRowHeight="13.8"/>
  <cols>
    <col min="1" max="1" width="20" customWidth="1"/>
    <col min="2" max="2" width="35" customWidth="1"/>
    <col min="3" max="3" width="28.69921875" customWidth="1"/>
    <col min="4" max="4" width="41.19921875" customWidth="1"/>
    <col min="5" max="5" width="14.3984375" customWidth="1"/>
  </cols>
  <sheetData>
    <row r="1" spans="1:5" ht="21">
      <c r="A1" s="38" t="s">
        <v>1089</v>
      </c>
      <c r="B1" s="39"/>
      <c r="C1" s="39"/>
      <c r="D1" s="39"/>
      <c r="E1" s="39"/>
    </row>
    <row r="3" spans="1:5" ht="27.6">
      <c r="A3" s="2" t="s">
        <v>957</v>
      </c>
      <c r="B3" s="3" t="s">
        <v>7</v>
      </c>
      <c r="C3" s="3" t="s">
        <v>1</v>
      </c>
      <c r="D3" s="3" t="s">
        <v>1090</v>
      </c>
      <c r="E3" s="4" t="s">
        <v>1091</v>
      </c>
    </row>
    <row r="4" spans="1:5">
      <c r="A4" s="5" t="s">
        <v>943</v>
      </c>
      <c r="B4" s="5" t="s">
        <v>1092</v>
      </c>
      <c r="C4" s="5" t="s">
        <v>1093</v>
      </c>
      <c r="D4" s="5" t="s">
        <v>1094</v>
      </c>
      <c r="E4" s="8" t="s">
        <v>1095</v>
      </c>
    </row>
    <row r="5" spans="1:5">
      <c r="A5" s="6" t="s">
        <v>943</v>
      </c>
      <c r="B5" s="6" t="s">
        <v>1096</v>
      </c>
      <c r="C5" s="6" t="s">
        <v>1097</v>
      </c>
      <c r="D5" s="6" t="s">
        <v>1098</v>
      </c>
      <c r="E5" s="9" t="s">
        <v>1095</v>
      </c>
    </row>
    <row r="6" spans="1:5">
      <c r="A6" s="6" t="s">
        <v>943</v>
      </c>
      <c r="B6" s="6" t="s">
        <v>1099</v>
      </c>
      <c r="C6" s="6" t="s">
        <v>90</v>
      </c>
      <c r="D6" s="6" t="s">
        <v>1100</v>
      </c>
      <c r="E6" s="9" t="s">
        <v>1095</v>
      </c>
    </row>
    <row r="7" spans="1:5">
      <c r="A7" s="6" t="s">
        <v>943</v>
      </c>
      <c r="B7" s="6" t="s">
        <v>1101</v>
      </c>
      <c r="C7" s="6" t="s">
        <v>82</v>
      </c>
      <c r="D7" s="6" t="s">
        <v>1102</v>
      </c>
      <c r="E7" s="9" t="s">
        <v>1095</v>
      </c>
    </row>
    <row r="8" spans="1:5">
      <c r="A8" s="6" t="s">
        <v>943</v>
      </c>
      <c r="B8" s="6" t="s">
        <v>1092</v>
      </c>
      <c r="C8" s="6" t="s">
        <v>1093</v>
      </c>
      <c r="D8" s="6" t="s">
        <v>1103</v>
      </c>
      <c r="E8" s="9" t="s">
        <v>1095</v>
      </c>
    </row>
    <row r="9" spans="1:5">
      <c r="A9" s="6" t="s">
        <v>943</v>
      </c>
      <c r="B9" s="6" t="s">
        <v>1092</v>
      </c>
      <c r="C9" s="6" t="s">
        <v>1093</v>
      </c>
      <c r="D9" s="6" t="s">
        <v>1104</v>
      </c>
      <c r="E9" s="9" t="s">
        <v>1095</v>
      </c>
    </row>
    <row r="10" spans="1:5">
      <c r="A10" s="6" t="s">
        <v>943</v>
      </c>
      <c r="B10" s="6" t="s">
        <v>1096</v>
      </c>
      <c r="C10" s="6" t="s">
        <v>1097</v>
      </c>
      <c r="D10" s="6" t="s">
        <v>1105</v>
      </c>
      <c r="E10" s="9" t="s">
        <v>1095</v>
      </c>
    </row>
    <row r="11" spans="1:5">
      <c r="A11" s="6" t="s">
        <v>943</v>
      </c>
      <c r="B11" s="6" t="s">
        <v>1096</v>
      </c>
      <c r="C11" s="6" t="s">
        <v>1097</v>
      </c>
      <c r="D11" s="6" t="s">
        <v>1106</v>
      </c>
      <c r="E11" s="9" t="s">
        <v>1095</v>
      </c>
    </row>
    <row r="12" spans="1:5">
      <c r="A12" s="6" t="s">
        <v>943</v>
      </c>
      <c r="B12" s="6" t="s">
        <v>1107</v>
      </c>
      <c r="C12" s="6" t="s">
        <v>99</v>
      </c>
      <c r="D12" s="6" t="s">
        <v>1108</v>
      </c>
      <c r="E12" s="9" t="s">
        <v>1095</v>
      </c>
    </row>
    <row r="13" spans="1:5">
      <c r="A13" s="6" t="s">
        <v>943</v>
      </c>
      <c r="B13" s="6" t="s">
        <v>1109</v>
      </c>
      <c r="C13" s="6" t="s">
        <v>106</v>
      </c>
      <c r="D13" s="6" t="s">
        <v>1110</v>
      </c>
      <c r="E13" s="9" t="s">
        <v>1095</v>
      </c>
    </row>
    <row r="14" spans="1:5">
      <c r="A14" s="6" t="s">
        <v>943</v>
      </c>
      <c r="B14" s="6" t="s">
        <v>1111</v>
      </c>
      <c r="C14" s="6" t="s">
        <v>62</v>
      </c>
      <c r="D14" s="6" t="s">
        <v>1112</v>
      </c>
      <c r="E14" s="9" t="s">
        <v>1095</v>
      </c>
    </row>
    <row r="15" spans="1:5">
      <c r="A15" s="6" t="s">
        <v>943</v>
      </c>
      <c r="B15" s="6" t="s">
        <v>1113</v>
      </c>
      <c r="C15" s="6" t="s">
        <v>43</v>
      </c>
      <c r="D15" s="6" t="s">
        <v>1114</v>
      </c>
      <c r="E15" s="9" t="s">
        <v>1095</v>
      </c>
    </row>
    <row r="16" spans="1:5">
      <c r="A16" s="6" t="s">
        <v>943</v>
      </c>
      <c r="B16" s="6" t="s">
        <v>1115</v>
      </c>
      <c r="C16" s="6" t="s">
        <v>53</v>
      </c>
      <c r="D16" s="6" t="s">
        <v>1116</v>
      </c>
      <c r="E16" s="9" t="s">
        <v>1095</v>
      </c>
    </row>
    <row r="17" spans="1:5">
      <c r="A17" s="6" t="s">
        <v>943</v>
      </c>
      <c r="B17" s="6" t="s">
        <v>1117</v>
      </c>
      <c r="C17" s="6" t="s">
        <v>112</v>
      </c>
      <c r="D17" s="6" t="s">
        <v>1118</v>
      </c>
      <c r="E17" s="9" t="s">
        <v>1095</v>
      </c>
    </row>
    <row r="18" spans="1:5">
      <c r="A18" s="6" t="s">
        <v>943</v>
      </c>
      <c r="B18" s="6" t="s">
        <v>1119</v>
      </c>
      <c r="C18" s="6" t="s">
        <v>119</v>
      </c>
      <c r="D18" s="6" t="s">
        <v>1120</v>
      </c>
      <c r="E18" s="9" t="s">
        <v>1095</v>
      </c>
    </row>
    <row r="19" spans="1:5">
      <c r="A19" s="6" t="s">
        <v>943</v>
      </c>
      <c r="B19" s="6" t="s">
        <v>1121</v>
      </c>
      <c r="C19" s="6" t="s">
        <v>125</v>
      </c>
      <c r="D19" s="6" t="s">
        <v>1122</v>
      </c>
      <c r="E19" s="9" t="s">
        <v>1095</v>
      </c>
    </row>
    <row r="20" spans="1:5">
      <c r="A20" s="6" t="s">
        <v>947</v>
      </c>
      <c r="B20" s="6" t="s">
        <v>1123</v>
      </c>
      <c r="C20" s="6" t="s">
        <v>321</v>
      </c>
      <c r="D20" s="6" t="s">
        <v>1124</v>
      </c>
      <c r="E20" s="9" t="s">
        <v>1095</v>
      </c>
    </row>
    <row r="21" spans="1:5">
      <c r="A21" s="6" t="s">
        <v>943</v>
      </c>
      <c r="B21" s="6" t="s">
        <v>1125</v>
      </c>
      <c r="C21" s="6" t="s">
        <v>131</v>
      </c>
      <c r="D21" s="6" t="s">
        <v>1126</v>
      </c>
      <c r="E21" s="9" t="s">
        <v>1095</v>
      </c>
    </row>
    <row r="22" spans="1:5">
      <c r="A22" s="6" t="s">
        <v>945</v>
      </c>
      <c r="B22" s="6" t="s">
        <v>1127</v>
      </c>
      <c r="C22" s="6" t="s">
        <v>1128</v>
      </c>
      <c r="D22" s="6" t="s">
        <v>1129</v>
      </c>
      <c r="E22" s="9" t="s">
        <v>1095</v>
      </c>
    </row>
    <row r="23" spans="1:5">
      <c r="A23" s="6" t="s">
        <v>945</v>
      </c>
      <c r="B23" s="6" t="s">
        <v>1130</v>
      </c>
      <c r="C23" s="6" t="s">
        <v>169</v>
      </c>
      <c r="D23" s="6" t="s">
        <v>1131</v>
      </c>
      <c r="E23" s="9" t="s">
        <v>1095</v>
      </c>
    </row>
    <row r="24" spans="1:5">
      <c r="A24" s="6" t="s">
        <v>945</v>
      </c>
      <c r="B24" s="6" t="s">
        <v>1132</v>
      </c>
      <c r="C24" s="6" t="s">
        <v>1133</v>
      </c>
      <c r="D24" s="6" t="s">
        <v>1134</v>
      </c>
      <c r="E24" s="9" t="s">
        <v>1095</v>
      </c>
    </row>
    <row r="25" spans="1:5">
      <c r="A25" s="6" t="s">
        <v>945</v>
      </c>
      <c r="B25" s="6" t="s">
        <v>1132</v>
      </c>
      <c r="C25" s="6" t="s">
        <v>1133</v>
      </c>
      <c r="D25" s="6" t="s">
        <v>1135</v>
      </c>
      <c r="E25" s="9" t="s">
        <v>1095</v>
      </c>
    </row>
    <row r="26" spans="1:5">
      <c r="A26" s="6" t="s">
        <v>945</v>
      </c>
      <c r="B26" s="6" t="s">
        <v>1132</v>
      </c>
      <c r="C26" s="6" t="s">
        <v>1133</v>
      </c>
      <c r="D26" s="6" t="s">
        <v>1136</v>
      </c>
      <c r="E26" s="9" t="s">
        <v>1095</v>
      </c>
    </row>
    <row r="27" spans="1:5">
      <c r="A27" s="6" t="s">
        <v>945</v>
      </c>
      <c r="B27" s="6" t="s">
        <v>1132</v>
      </c>
      <c r="C27" s="6" t="s">
        <v>1133</v>
      </c>
      <c r="D27" s="6" t="s">
        <v>1137</v>
      </c>
      <c r="E27" s="9" t="s">
        <v>1095</v>
      </c>
    </row>
    <row r="28" spans="1:5" ht="27.6">
      <c r="A28" s="6" t="s">
        <v>945</v>
      </c>
      <c r="B28" s="6" t="s">
        <v>1132</v>
      </c>
      <c r="C28" s="6" t="s">
        <v>1133</v>
      </c>
      <c r="D28" s="6" t="s">
        <v>1138</v>
      </c>
      <c r="E28" s="9" t="s">
        <v>1095</v>
      </c>
    </row>
    <row r="29" spans="1:5">
      <c r="A29" s="6" t="s">
        <v>945</v>
      </c>
      <c r="B29" s="6" t="s">
        <v>1139</v>
      </c>
      <c r="C29" s="6" t="s">
        <v>175</v>
      </c>
      <c r="D29" s="6" t="s">
        <v>1140</v>
      </c>
      <c r="E29" s="9" t="s">
        <v>1095</v>
      </c>
    </row>
    <row r="30" spans="1:5">
      <c r="A30" s="6" t="s">
        <v>945</v>
      </c>
      <c r="B30" s="6" t="s">
        <v>1141</v>
      </c>
      <c r="C30" s="6" t="s">
        <v>180</v>
      </c>
      <c r="D30" s="6" t="s">
        <v>1142</v>
      </c>
      <c r="E30" s="9" t="s">
        <v>1095</v>
      </c>
    </row>
    <row r="31" spans="1:5" ht="27.6">
      <c r="A31" s="6" t="s">
        <v>949</v>
      </c>
      <c r="B31" s="6" t="s">
        <v>1143</v>
      </c>
      <c r="C31" s="6" t="s">
        <v>1144</v>
      </c>
      <c r="D31" s="6" t="s">
        <v>1145</v>
      </c>
      <c r="E31" s="9" t="s">
        <v>1095</v>
      </c>
    </row>
    <row r="32" spans="1:5" ht="27.6">
      <c r="A32" s="6" t="s">
        <v>949</v>
      </c>
      <c r="B32" s="6" t="s">
        <v>1143</v>
      </c>
      <c r="C32" s="6" t="s">
        <v>1144</v>
      </c>
      <c r="D32" s="6" t="s">
        <v>1146</v>
      </c>
      <c r="E32" s="9" t="s">
        <v>1095</v>
      </c>
    </row>
    <row r="33" spans="1:5" ht="27.6">
      <c r="A33" s="6" t="s">
        <v>949</v>
      </c>
      <c r="B33" s="6" t="s">
        <v>1143</v>
      </c>
      <c r="C33" s="6" t="s">
        <v>1144</v>
      </c>
      <c r="D33" s="6" t="s">
        <v>1147</v>
      </c>
      <c r="E33" s="9" t="s">
        <v>1095</v>
      </c>
    </row>
    <row r="34" spans="1:5" ht="27.6">
      <c r="A34" s="6" t="s">
        <v>949</v>
      </c>
      <c r="B34" s="6" t="s">
        <v>1143</v>
      </c>
      <c r="C34" s="6" t="s">
        <v>1144</v>
      </c>
      <c r="D34" s="6" t="s">
        <v>1148</v>
      </c>
      <c r="E34" s="9" t="s">
        <v>1095</v>
      </c>
    </row>
    <row r="35" spans="1:5">
      <c r="A35" s="6" t="s">
        <v>947</v>
      </c>
      <c r="B35" s="6" t="s">
        <v>1123</v>
      </c>
      <c r="C35" s="6" t="s">
        <v>321</v>
      </c>
      <c r="D35" s="6" t="s">
        <v>1149</v>
      </c>
      <c r="E35" s="9" t="s">
        <v>1095</v>
      </c>
    </row>
    <row r="36" spans="1:5">
      <c r="A36" s="6" t="s">
        <v>947</v>
      </c>
      <c r="B36" s="6" t="s">
        <v>1150</v>
      </c>
      <c r="C36" s="6" t="s">
        <v>327</v>
      </c>
      <c r="D36" s="6" t="s">
        <v>1151</v>
      </c>
      <c r="E36" s="9" t="s">
        <v>1095</v>
      </c>
    </row>
    <row r="37" spans="1:5">
      <c r="A37" s="6" t="s">
        <v>947</v>
      </c>
      <c r="B37" s="6" t="s">
        <v>1152</v>
      </c>
      <c r="C37" s="6" t="s">
        <v>1153</v>
      </c>
      <c r="D37" s="6" t="s">
        <v>1154</v>
      </c>
      <c r="E37" s="9" t="s">
        <v>1095</v>
      </c>
    </row>
    <row r="38" spans="1:5">
      <c r="A38" s="6" t="s">
        <v>947</v>
      </c>
      <c r="B38" s="6" t="s">
        <v>1155</v>
      </c>
      <c r="C38" s="6" t="s">
        <v>1156</v>
      </c>
      <c r="D38" s="6" t="s">
        <v>1157</v>
      </c>
      <c r="E38" s="9" t="s">
        <v>1095</v>
      </c>
    </row>
    <row r="39" spans="1:5">
      <c r="A39" s="6" t="s">
        <v>947</v>
      </c>
      <c r="B39" s="6" t="s">
        <v>1158</v>
      </c>
      <c r="C39" s="6" t="s">
        <v>333</v>
      </c>
      <c r="D39" s="6" t="s">
        <v>1159</v>
      </c>
      <c r="E39" s="9" t="s">
        <v>1095</v>
      </c>
    </row>
    <row r="40" spans="1:5">
      <c r="A40" s="6" t="s">
        <v>945</v>
      </c>
      <c r="B40" s="6" t="s">
        <v>1160</v>
      </c>
      <c r="C40" s="6" t="s">
        <v>184</v>
      </c>
      <c r="D40" s="6" t="s">
        <v>1161</v>
      </c>
      <c r="E40" s="9" t="s">
        <v>1095</v>
      </c>
    </row>
    <row r="41" spans="1:5">
      <c r="A41" s="6" t="s">
        <v>945</v>
      </c>
      <c r="B41" s="6" t="s">
        <v>1162</v>
      </c>
      <c r="C41" s="6" t="s">
        <v>190</v>
      </c>
      <c r="D41" s="6" t="s">
        <v>1163</v>
      </c>
      <c r="E41" s="9" t="s">
        <v>1095</v>
      </c>
    </row>
    <row r="42" spans="1:5">
      <c r="A42" s="6" t="s">
        <v>945</v>
      </c>
      <c r="B42" s="6" t="s">
        <v>1164</v>
      </c>
      <c r="C42" s="6" t="s">
        <v>196</v>
      </c>
      <c r="D42" s="6" t="s">
        <v>1165</v>
      </c>
      <c r="E42" s="9" t="s">
        <v>1095</v>
      </c>
    </row>
    <row r="43" spans="1:5">
      <c r="A43" s="6" t="s">
        <v>945</v>
      </c>
      <c r="B43" s="6" t="s">
        <v>1166</v>
      </c>
      <c r="C43" s="6" t="s">
        <v>202</v>
      </c>
      <c r="D43" s="6" t="s">
        <v>1167</v>
      </c>
      <c r="E43" s="9" t="s">
        <v>1095</v>
      </c>
    </row>
    <row r="44" spans="1:5">
      <c r="A44" s="6" t="s">
        <v>945</v>
      </c>
      <c r="B44" s="6" t="s">
        <v>1168</v>
      </c>
      <c r="C44" s="6" t="s">
        <v>208</v>
      </c>
      <c r="D44" s="6" t="s">
        <v>1169</v>
      </c>
      <c r="E44" s="9" t="s">
        <v>1095</v>
      </c>
    </row>
    <row r="45" spans="1:5">
      <c r="A45" s="6" t="s">
        <v>946</v>
      </c>
      <c r="B45" s="6" t="s">
        <v>1170</v>
      </c>
      <c r="C45" s="6" t="s">
        <v>272</v>
      </c>
      <c r="D45" s="6" t="s">
        <v>1171</v>
      </c>
      <c r="E45" s="9" t="s">
        <v>1095</v>
      </c>
    </row>
    <row r="46" spans="1:5">
      <c r="A46" s="6" t="s">
        <v>946</v>
      </c>
      <c r="B46" s="6" t="s">
        <v>1172</v>
      </c>
      <c r="C46" s="6" t="s">
        <v>227</v>
      </c>
      <c r="D46" s="6" t="s">
        <v>1173</v>
      </c>
      <c r="E46" s="9" t="s">
        <v>1095</v>
      </c>
    </row>
    <row r="47" spans="1:5" ht="27.6">
      <c r="A47" s="6" t="s">
        <v>946</v>
      </c>
      <c r="B47" s="6" t="s">
        <v>1174</v>
      </c>
      <c r="C47" s="6" t="s">
        <v>1175</v>
      </c>
      <c r="D47" s="6" t="s">
        <v>1176</v>
      </c>
      <c r="E47" s="9" t="s">
        <v>1095</v>
      </c>
    </row>
    <row r="48" spans="1:5" ht="27.6">
      <c r="A48" s="6" t="s">
        <v>946</v>
      </c>
      <c r="B48" s="6" t="s">
        <v>1174</v>
      </c>
      <c r="C48" s="6" t="s">
        <v>1175</v>
      </c>
      <c r="D48" s="6" t="s">
        <v>1177</v>
      </c>
      <c r="E48" s="9" t="s">
        <v>1095</v>
      </c>
    </row>
    <row r="49" spans="1:5" ht="27.6">
      <c r="A49" s="6" t="s">
        <v>946</v>
      </c>
      <c r="B49" s="6" t="s">
        <v>1174</v>
      </c>
      <c r="C49" s="6" t="s">
        <v>1175</v>
      </c>
      <c r="D49" s="6" t="s">
        <v>1178</v>
      </c>
      <c r="E49" s="9" t="s">
        <v>1095</v>
      </c>
    </row>
    <row r="50" spans="1:5">
      <c r="A50" s="6" t="s">
        <v>946</v>
      </c>
      <c r="B50" s="6" t="s">
        <v>1179</v>
      </c>
      <c r="C50" s="6" t="s">
        <v>254</v>
      </c>
      <c r="D50" s="6" t="s">
        <v>1180</v>
      </c>
      <c r="E50" s="9" t="s">
        <v>1095</v>
      </c>
    </row>
    <row r="51" spans="1:5">
      <c r="A51" s="6" t="s">
        <v>946</v>
      </c>
      <c r="B51" s="6" t="s">
        <v>1181</v>
      </c>
      <c r="C51" s="6" t="s">
        <v>278</v>
      </c>
      <c r="D51" s="6" t="s">
        <v>1182</v>
      </c>
      <c r="E51" s="9" t="s">
        <v>1095</v>
      </c>
    </row>
    <row r="52" spans="1:5">
      <c r="A52" s="6" t="s">
        <v>949</v>
      </c>
      <c r="B52" s="6" t="s">
        <v>1183</v>
      </c>
      <c r="C52" s="6" t="s">
        <v>436</v>
      </c>
      <c r="D52" s="6" t="s">
        <v>1184</v>
      </c>
      <c r="E52" s="9" t="s">
        <v>1095</v>
      </c>
    </row>
    <row r="53" spans="1:5" ht="27.6">
      <c r="A53" s="6" t="s">
        <v>949</v>
      </c>
      <c r="B53" s="6" t="s">
        <v>1185</v>
      </c>
      <c r="C53" s="6" t="s">
        <v>441</v>
      </c>
      <c r="D53" s="6" t="s">
        <v>1186</v>
      </c>
      <c r="E53" s="9" t="s">
        <v>1095</v>
      </c>
    </row>
    <row r="54" spans="1:5">
      <c r="A54" s="6" t="s">
        <v>949</v>
      </c>
      <c r="B54" s="6" t="s">
        <v>1187</v>
      </c>
      <c r="C54" s="6" t="s">
        <v>447</v>
      </c>
      <c r="D54" s="6" t="s">
        <v>1188</v>
      </c>
      <c r="E54" s="9" t="s">
        <v>1095</v>
      </c>
    </row>
    <row r="55" spans="1:5" ht="27.6">
      <c r="A55" s="6" t="s">
        <v>949</v>
      </c>
      <c r="B55" s="6" t="s">
        <v>1189</v>
      </c>
      <c r="C55" s="6" t="s">
        <v>1190</v>
      </c>
      <c r="D55" s="6" t="s">
        <v>1191</v>
      </c>
      <c r="E55" s="9" t="s">
        <v>1095</v>
      </c>
    </row>
    <row r="56" spans="1:5" ht="27.6">
      <c r="A56" s="6" t="s">
        <v>949</v>
      </c>
      <c r="B56" s="6" t="s">
        <v>1189</v>
      </c>
      <c r="C56" s="6" t="s">
        <v>1190</v>
      </c>
      <c r="D56" s="6" t="s">
        <v>1192</v>
      </c>
      <c r="E56" s="9" t="s">
        <v>1095</v>
      </c>
    </row>
    <row r="57" spans="1:5" ht="27.6">
      <c r="A57" s="6" t="s">
        <v>949</v>
      </c>
      <c r="B57" s="6" t="s">
        <v>1189</v>
      </c>
      <c r="C57" s="6" t="s">
        <v>1190</v>
      </c>
      <c r="D57" s="6" t="s">
        <v>1193</v>
      </c>
      <c r="E57" s="9" t="s">
        <v>1095</v>
      </c>
    </row>
    <row r="58" spans="1:5">
      <c r="A58" s="6" t="s">
        <v>949</v>
      </c>
      <c r="B58" s="6" t="s">
        <v>1194</v>
      </c>
      <c r="C58" s="6" t="s">
        <v>1195</v>
      </c>
      <c r="D58" s="6" t="s">
        <v>1196</v>
      </c>
      <c r="E58" s="9" t="s">
        <v>1095</v>
      </c>
    </row>
    <row r="59" spans="1:5">
      <c r="A59" s="6" t="s">
        <v>949</v>
      </c>
      <c r="B59" s="6" t="s">
        <v>1197</v>
      </c>
      <c r="C59" s="6" t="s">
        <v>453</v>
      </c>
      <c r="D59" s="6" t="s">
        <v>1198</v>
      </c>
      <c r="E59" s="9" t="s">
        <v>1095</v>
      </c>
    </row>
    <row r="60" spans="1:5">
      <c r="A60" s="6" t="s">
        <v>946</v>
      </c>
      <c r="B60" s="6" t="s">
        <v>1199</v>
      </c>
      <c r="C60" s="6" t="s">
        <v>284</v>
      </c>
      <c r="D60" s="6" t="s">
        <v>1200</v>
      </c>
      <c r="E60" s="9" t="s">
        <v>1095</v>
      </c>
    </row>
    <row r="61" spans="1:5">
      <c r="A61" s="6" t="s">
        <v>946</v>
      </c>
      <c r="B61" s="6" t="s">
        <v>1201</v>
      </c>
      <c r="C61" s="6" t="s">
        <v>289</v>
      </c>
      <c r="D61" s="6" t="s">
        <v>1202</v>
      </c>
      <c r="E61" s="9" t="s">
        <v>1095</v>
      </c>
    </row>
    <row r="62" spans="1:5">
      <c r="A62" s="6" t="s">
        <v>946</v>
      </c>
      <c r="B62" s="6" t="s">
        <v>1203</v>
      </c>
      <c r="C62" s="6" t="s">
        <v>1204</v>
      </c>
      <c r="D62" s="6" t="s">
        <v>1205</v>
      </c>
      <c r="E62" s="9" t="s">
        <v>1095</v>
      </c>
    </row>
    <row r="63" spans="1:5" ht="27.6">
      <c r="A63" s="6" t="s">
        <v>946</v>
      </c>
      <c r="B63" s="6" t="s">
        <v>1203</v>
      </c>
      <c r="C63" s="6" t="s">
        <v>1204</v>
      </c>
      <c r="D63" s="6" t="s">
        <v>1206</v>
      </c>
      <c r="E63" s="9" t="s">
        <v>1095</v>
      </c>
    </row>
    <row r="64" spans="1:5" ht="27.6">
      <c r="A64" s="6" t="s">
        <v>946</v>
      </c>
      <c r="B64" s="6" t="s">
        <v>1203</v>
      </c>
      <c r="C64" s="6" t="s">
        <v>1204</v>
      </c>
      <c r="D64" s="6" t="s">
        <v>1207</v>
      </c>
      <c r="E64" s="9" t="s">
        <v>1095</v>
      </c>
    </row>
    <row r="65" spans="1:5">
      <c r="A65" s="6" t="s">
        <v>946</v>
      </c>
      <c r="B65" s="6" t="s">
        <v>1208</v>
      </c>
      <c r="C65" s="6" t="s">
        <v>264</v>
      </c>
      <c r="D65" s="6" t="s">
        <v>1209</v>
      </c>
      <c r="E65" s="9" t="s">
        <v>1095</v>
      </c>
    </row>
    <row r="66" spans="1:5">
      <c r="A66" s="6" t="s">
        <v>946</v>
      </c>
      <c r="B66" s="6" t="s">
        <v>1210</v>
      </c>
      <c r="C66" s="6" t="s">
        <v>295</v>
      </c>
      <c r="D66" s="6" t="s">
        <v>1211</v>
      </c>
      <c r="E66" s="9" t="s">
        <v>1095</v>
      </c>
    </row>
    <row r="67" spans="1:5">
      <c r="A67" s="6" t="s">
        <v>948</v>
      </c>
      <c r="B67" s="6" t="s">
        <v>1212</v>
      </c>
      <c r="C67" s="6" t="s">
        <v>337</v>
      </c>
      <c r="D67" s="6" t="s">
        <v>1213</v>
      </c>
      <c r="E67" s="9" t="s">
        <v>1095</v>
      </c>
    </row>
    <row r="68" spans="1:5">
      <c r="A68" s="6" t="s">
        <v>948</v>
      </c>
      <c r="B68" s="6" t="s">
        <v>1214</v>
      </c>
      <c r="C68" s="6" t="s">
        <v>375</v>
      </c>
      <c r="D68" s="6" t="s">
        <v>1215</v>
      </c>
      <c r="E68" s="9" t="s">
        <v>1095</v>
      </c>
    </row>
    <row r="69" spans="1:5">
      <c r="A69" s="6" t="s">
        <v>948</v>
      </c>
      <c r="B69" s="6" t="s">
        <v>1216</v>
      </c>
      <c r="C69" s="6" t="s">
        <v>1217</v>
      </c>
      <c r="D69" s="6" t="s">
        <v>1218</v>
      </c>
      <c r="E69" s="9" t="s">
        <v>1095</v>
      </c>
    </row>
    <row r="70" spans="1:5">
      <c r="A70" s="6" t="s">
        <v>948</v>
      </c>
      <c r="B70" s="6" t="s">
        <v>1216</v>
      </c>
      <c r="C70" s="6" t="s">
        <v>1217</v>
      </c>
      <c r="D70" s="6" t="s">
        <v>1219</v>
      </c>
      <c r="E70" s="9" t="s">
        <v>1095</v>
      </c>
    </row>
    <row r="71" spans="1:5" ht="27.6">
      <c r="A71" s="6" t="s">
        <v>948</v>
      </c>
      <c r="B71" s="6" t="s">
        <v>1216</v>
      </c>
      <c r="C71" s="6" t="s">
        <v>1217</v>
      </c>
      <c r="D71" s="6" t="s">
        <v>1220</v>
      </c>
      <c r="E71" s="9" t="s">
        <v>1095</v>
      </c>
    </row>
    <row r="72" spans="1:5">
      <c r="A72" s="6" t="s">
        <v>948</v>
      </c>
      <c r="B72" s="6" t="s">
        <v>1221</v>
      </c>
      <c r="C72" s="6" t="s">
        <v>1222</v>
      </c>
      <c r="D72" s="6" t="s">
        <v>1223</v>
      </c>
      <c r="E72" s="9" t="s">
        <v>1095</v>
      </c>
    </row>
    <row r="73" spans="1:5" ht="27.6">
      <c r="A73" s="6" t="s">
        <v>950</v>
      </c>
      <c r="B73" s="6" t="s">
        <v>1224</v>
      </c>
      <c r="C73" s="6" t="s">
        <v>1225</v>
      </c>
      <c r="D73" s="6" t="s">
        <v>1226</v>
      </c>
      <c r="E73" s="9" t="s">
        <v>1095</v>
      </c>
    </row>
    <row r="74" spans="1:5">
      <c r="A74" s="6" t="s">
        <v>950</v>
      </c>
      <c r="B74" s="6" t="s">
        <v>1227</v>
      </c>
      <c r="C74" s="6" t="s">
        <v>609</v>
      </c>
      <c r="D74" s="6" t="s">
        <v>1228</v>
      </c>
      <c r="E74" s="9" t="s">
        <v>1095</v>
      </c>
    </row>
    <row r="75" spans="1:5">
      <c r="A75" s="6" t="s">
        <v>950</v>
      </c>
      <c r="B75" s="6" t="s">
        <v>1229</v>
      </c>
      <c r="C75" s="6" t="s">
        <v>615</v>
      </c>
      <c r="D75" s="6" t="s">
        <v>1230</v>
      </c>
      <c r="E75" s="9" t="s">
        <v>1095</v>
      </c>
    </row>
    <row r="76" spans="1:5" ht="27.6">
      <c r="A76" s="6" t="s">
        <v>950</v>
      </c>
      <c r="B76" s="6" t="s">
        <v>1224</v>
      </c>
      <c r="C76" s="6" t="s">
        <v>1225</v>
      </c>
      <c r="D76" s="6" t="s">
        <v>1231</v>
      </c>
      <c r="E76" s="9" t="s">
        <v>1095</v>
      </c>
    </row>
    <row r="77" spans="1:5" ht="27.6">
      <c r="A77" s="6" t="s">
        <v>950</v>
      </c>
      <c r="B77" s="6" t="s">
        <v>1224</v>
      </c>
      <c r="C77" s="6" t="s">
        <v>1225</v>
      </c>
      <c r="D77" s="6" t="s">
        <v>1232</v>
      </c>
      <c r="E77" s="9" t="s">
        <v>1095</v>
      </c>
    </row>
    <row r="78" spans="1:5" ht="27.6">
      <c r="A78" s="6" t="s">
        <v>950</v>
      </c>
      <c r="B78" s="6" t="s">
        <v>1224</v>
      </c>
      <c r="C78" s="6" t="s">
        <v>1225</v>
      </c>
      <c r="D78" s="6" t="s">
        <v>1233</v>
      </c>
      <c r="E78" s="9" t="s">
        <v>1095</v>
      </c>
    </row>
    <row r="79" spans="1:5">
      <c r="A79" s="6" t="s">
        <v>950</v>
      </c>
      <c r="B79" s="6" t="s">
        <v>1234</v>
      </c>
      <c r="C79" s="6" t="s">
        <v>1235</v>
      </c>
      <c r="D79" s="6" t="s">
        <v>1236</v>
      </c>
      <c r="E79" s="9" t="s">
        <v>1095</v>
      </c>
    </row>
    <row r="80" spans="1:5">
      <c r="A80" s="6" t="s">
        <v>950</v>
      </c>
      <c r="B80" s="6" t="s">
        <v>1237</v>
      </c>
      <c r="C80" s="6" t="s">
        <v>621</v>
      </c>
      <c r="D80" s="6" t="s">
        <v>1238</v>
      </c>
      <c r="E80" s="9" t="s">
        <v>1095</v>
      </c>
    </row>
    <row r="81" spans="1:5">
      <c r="A81" s="6" t="s">
        <v>950</v>
      </c>
      <c r="B81" s="6" t="s">
        <v>1239</v>
      </c>
      <c r="C81" s="6" t="s">
        <v>626</v>
      </c>
      <c r="D81" s="6" t="s">
        <v>1240</v>
      </c>
      <c r="E81" s="9" t="s">
        <v>1095</v>
      </c>
    </row>
    <row r="82" spans="1:5">
      <c r="A82" s="6" t="s">
        <v>950</v>
      </c>
      <c r="B82" s="6" t="s">
        <v>1241</v>
      </c>
      <c r="C82" s="6" t="s">
        <v>1242</v>
      </c>
      <c r="D82" s="6" t="s">
        <v>1243</v>
      </c>
      <c r="E82" s="9" t="s">
        <v>1095</v>
      </c>
    </row>
    <row r="83" spans="1:5">
      <c r="A83" s="6" t="s">
        <v>950</v>
      </c>
      <c r="B83" s="6" t="s">
        <v>1244</v>
      </c>
      <c r="C83" s="6" t="s">
        <v>1245</v>
      </c>
      <c r="D83" s="6" t="s">
        <v>1246</v>
      </c>
      <c r="E83" s="9" t="s">
        <v>1095</v>
      </c>
    </row>
    <row r="84" spans="1:5" ht="27.6">
      <c r="A84" s="6" t="s">
        <v>949</v>
      </c>
      <c r="B84" s="6" t="s">
        <v>1247</v>
      </c>
      <c r="C84" s="6" t="s">
        <v>457</v>
      </c>
      <c r="D84" s="6" t="s">
        <v>1248</v>
      </c>
      <c r="E84" s="9" t="s">
        <v>1095</v>
      </c>
    </row>
    <row r="85" spans="1:5" ht="27.6">
      <c r="A85" s="6" t="s">
        <v>949</v>
      </c>
      <c r="B85" s="6" t="s">
        <v>1249</v>
      </c>
      <c r="C85" s="6" t="s">
        <v>463</v>
      </c>
      <c r="D85" s="6" t="s">
        <v>1250</v>
      </c>
      <c r="E85" s="9" t="s">
        <v>1095</v>
      </c>
    </row>
    <row r="86" spans="1:5" ht="27.6">
      <c r="A86" s="6" t="s">
        <v>949</v>
      </c>
      <c r="B86" s="6" t="s">
        <v>1251</v>
      </c>
      <c r="C86" s="6" t="s">
        <v>469</v>
      </c>
      <c r="D86" s="6" t="s">
        <v>1252</v>
      </c>
      <c r="E86" s="9" t="s">
        <v>1095</v>
      </c>
    </row>
    <row r="87" spans="1:5" ht="27.6">
      <c r="A87" s="6" t="s">
        <v>949</v>
      </c>
      <c r="B87" s="6" t="s">
        <v>1253</v>
      </c>
      <c r="C87" s="6" t="s">
        <v>474</v>
      </c>
      <c r="D87" s="6" t="s">
        <v>1254</v>
      </c>
      <c r="E87" s="9" t="s">
        <v>1095</v>
      </c>
    </row>
    <row r="88" spans="1:5" ht="27.6">
      <c r="A88" s="6" t="s">
        <v>949</v>
      </c>
      <c r="B88" s="6" t="s">
        <v>1255</v>
      </c>
      <c r="C88" s="6" t="s">
        <v>480</v>
      </c>
      <c r="D88" s="6" t="s">
        <v>1256</v>
      </c>
      <c r="E88" s="9" t="s">
        <v>1095</v>
      </c>
    </row>
    <row r="89" spans="1:5">
      <c r="A89" s="6" t="s">
        <v>950</v>
      </c>
      <c r="B89" s="6" t="s">
        <v>1257</v>
      </c>
      <c r="C89" s="6" t="s">
        <v>632</v>
      </c>
      <c r="D89" s="6" t="s">
        <v>1258</v>
      </c>
      <c r="E89" s="9" t="s">
        <v>1095</v>
      </c>
    </row>
    <row r="90" spans="1:5">
      <c r="A90" s="6" t="s">
        <v>950</v>
      </c>
      <c r="B90" s="6" t="s">
        <v>1259</v>
      </c>
      <c r="C90" s="6" t="s">
        <v>1260</v>
      </c>
      <c r="D90" s="6" t="s">
        <v>1261</v>
      </c>
      <c r="E90" s="9" t="s">
        <v>1095</v>
      </c>
    </row>
    <row r="91" spans="1:5" ht="27.6">
      <c r="A91" s="6" t="s">
        <v>950</v>
      </c>
      <c r="B91" s="6" t="s">
        <v>1259</v>
      </c>
      <c r="C91" s="6" t="s">
        <v>1260</v>
      </c>
      <c r="D91" s="6" t="s">
        <v>1262</v>
      </c>
      <c r="E91" s="9" t="s">
        <v>1095</v>
      </c>
    </row>
    <row r="92" spans="1:5" ht="27.6">
      <c r="A92" s="6" t="s">
        <v>950</v>
      </c>
      <c r="B92" s="6" t="s">
        <v>1259</v>
      </c>
      <c r="C92" s="6" t="s">
        <v>1260</v>
      </c>
      <c r="D92" s="6" t="s">
        <v>1263</v>
      </c>
      <c r="E92" s="9" t="s">
        <v>1095</v>
      </c>
    </row>
    <row r="93" spans="1:5">
      <c r="A93" s="6" t="s">
        <v>950</v>
      </c>
      <c r="B93" s="6" t="s">
        <v>1264</v>
      </c>
      <c r="C93" s="6" t="s">
        <v>637</v>
      </c>
      <c r="D93" s="6" t="s">
        <v>1265</v>
      </c>
      <c r="E93" s="9" t="s">
        <v>1095</v>
      </c>
    </row>
    <row r="94" spans="1:5">
      <c r="A94" s="6" t="s">
        <v>950</v>
      </c>
      <c r="B94" s="6" t="s">
        <v>1266</v>
      </c>
      <c r="C94" s="6" t="s">
        <v>1267</v>
      </c>
      <c r="D94" s="6" t="s">
        <v>1268</v>
      </c>
      <c r="E94" s="9" t="s">
        <v>1095</v>
      </c>
    </row>
    <row r="95" spans="1:5" ht="27.6">
      <c r="A95" s="6" t="s">
        <v>950</v>
      </c>
      <c r="B95" s="6" t="s">
        <v>1266</v>
      </c>
      <c r="C95" s="6" t="s">
        <v>1267</v>
      </c>
      <c r="D95" s="6" t="s">
        <v>1269</v>
      </c>
      <c r="E95" s="9" t="s">
        <v>1095</v>
      </c>
    </row>
    <row r="96" spans="1:5" ht="27.6">
      <c r="A96" s="6" t="s">
        <v>950</v>
      </c>
      <c r="B96" s="6" t="s">
        <v>1266</v>
      </c>
      <c r="C96" s="6" t="s">
        <v>1267</v>
      </c>
      <c r="D96" s="6" t="s">
        <v>1270</v>
      </c>
      <c r="E96" s="9" t="s">
        <v>1095</v>
      </c>
    </row>
    <row r="97" spans="1:5">
      <c r="A97" s="6" t="s">
        <v>950</v>
      </c>
      <c r="B97" s="6" t="s">
        <v>1271</v>
      </c>
      <c r="C97" s="6" t="s">
        <v>642</v>
      </c>
      <c r="D97" s="6" t="s">
        <v>1272</v>
      </c>
      <c r="E97" s="9" t="s">
        <v>1095</v>
      </c>
    </row>
    <row r="98" spans="1:5">
      <c r="A98" s="6" t="s">
        <v>950</v>
      </c>
      <c r="B98" s="6" t="s">
        <v>1273</v>
      </c>
      <c r="C98" s="6" t="s">
        <v>1274</v>
      </c>
      <c r="D98" s="6" t="s">
        <v>1275</v>
      </c>
      <c r="E98" s="9" t="s">
        <v>1095</v>
      </c>
    </row>
    <row r="99" spans="1:5" ht="27.6">
      <c r="A99" s="6" t="s">
        <v>950</v>
      </c>
      <c r="B99" s="6" t="s">
        <v>1273</v>
      </c>
      <c r="C99" s="6" t="s">
        <v>1274</v>
      </c>
      <c r="D99" s="6" t="s">
        <v>1276</v>
      </c>
      <c r="E99" s="9" t="s">
        <v>1095</v>
      </c>
    </row>
    <row r="100" spans="1:5" ht="27.6">
      <c r="A100" s="6" t="s">
        <v>950</v>
      </c>
      <c r="B100" s="6" t="s">
        <v>1273</v>
      </c>
      <c r="C100" s="6" t="s">
        <v>1274</v>
      </c>
      <c r="D100" s="6" t="s">
        <v>1277</v>
      </c>
      <c r="E100" s="9" t="s">
        <v>1095</v>
      </c>
    </row>
    <row r="101" spans="1:5">
      <c r="A101" s="6" t="s">
        <v>951</v>
      </c>
      <c r="B101" s="6" t="s">
        <v>1278</v>
      </c>
      <c r="C101" s="6" t="s">
        <v>1279</v>
      </c>
      <c r="D101" s="6" t="s">
        <v>1280</v>
      </c>
      <c r="E101" s="9" t="s">
        <v>1095</v>
      </c>
    </row>
    <row r="102" spans="1:5">
      <c r="A102" s="6" t="s">
        <v>951</v>
      </c>
      <c r="B102" s="6" t="s">
        <v>1278</v>
      </c>
      <c r="C102" s="6" t="s">
        <v>1279</v>
      </c>
      <c r="D102" s="6" t="s">
        <v>1281</v>
      </c>
      <c r="E102" s="9" t="s">
        <v>1095</v>
      </c>
    </row>
    <row r="103" spans="1:5">
      <c r="A103" s="6" t="s">
        <v>951</v>
      </c>
      <c r="B103" s="6" t="s">
        <v>1282</v>
      </c>
      <c r="C103" s="6" t="s">
        <v>656</v>
      </c>
      <c r="D103" s="6" t="s">
        <v>1283</v>
      </c>
      <c r="E103" s="9" t="s">
        <v>1095</v>
      </c>
    </row>
    <row r="104" spans="1:5">
      <c r="A104" s="6" t="s">
        <v>951</v>
      </c>
      <c r="B104" s="6" t="s">
        <v>1284</v>
      </c>
      <c r="C104" s="6" t="s">
        <v>662</v>
      </c>
      <c r="D104" s="6" t="s">
        <v>1285</v>
      </c>
      <c r="E104" s="9" t="s">
        <v>1095</v>
      </c>
    </row>
    <row r="105" spans="1:5">
      <c r="A105" s="6" t="s">
        <v>951</v>
      </c>
      <c r="B105" s="6" t="s">
        <v>1286</v>
      </c>
      <c r="C105" s="6" t="s">
        <v>721</v>
      </c>
      <c r="D105" s="6" t="s">
        <v>1287</v>
      </c>
      <c r="E105" s="9" t="s">
        <v>1095</v>
      </c>
    </row>
    <row r="106" spans="1:5">
      <c r="A106" s="6" t="s">
        <v>951</v>
      </c>
      <c r="B106" s="6" t="s">
        <v>1288</v>
      </c>
      <c r="C106" s="6" t="s">
        <v>727</v>
      </c>
      <c r="D106" s="6" t="s">
        <v>1289</v>
      </c>
      <c r="E106" s="9" t="s">
        <v>1095</v>
      </c>
    </row>
    <row r="107" spans="1:5">
      <c r="A107" s="6" t="s">
        <v>951</v>
      </c>
      <c r="B107" s="6" t="s">
        <v>1290</v>
      </c>
      <c r="C107" s="6" t="s">
        <v>733</v>
      </c>
      <c r="D107" s="6" t="s">
        <v>1291</v>
      </c>
      <c r="E107" s="9" t="s">
        <v>1095</v>
      </c>
    </row>
    <row r="108" spans="1:5">
      <c r="A108" s="6" t="s">
        <v>951</v>
      </c>
      <c r="B108" s="6" t="s">
        <v>1292</v>
      </c>
      <c r="C108" s="6" t="s">
        <v>739</v>
      </c>
      <c r="D108" s="6" t="s">
        <v>1293</v>
      </c>
      <c r="E108" s="9" t="s">
        <v>1095</v>
      </c>
    </row>
    <row r="109" spans="1:5">
      <c r="A109" s="6" t="s">
        <v>951</v>
      </c>
      <c r="B109" s="6" t="s">
        <v>1294</v>
      </c>
      <c r="C109" s="6" t="s">
        <v>745</v>
      </c>
      <c r="D109" s="6" t="s">
        <v>1295</v>
      </c>
      <c r="E109" s="9" t="s">
        <v>1095</v>
      </c>
    </row>
    <row r="110" spans="1:5">
      <c r="A110" s="6" t="s">
        <v>951</v>
      </c>
      <c r="B110" s="6" t="s">
        <v>1296</v>
      </c>
      <c r="C110" s="6" t="s">
        <v>751</v>
      </c>
      <c r="D110" s="6" t="s">
        <v>1297</v>
      </c>
      <c r="E110" s="9" t="s">
        <v>1095</v>
      </c>
    </row>
    <row r="111" spans="1:5">
      <c r="A111" s="6" t="s">
        <v>951</v>
      </c>
      <c r="B111" s="6" t="s">
        <v>1298</v>
      </c>
      <c r="C111" s="6" t="s">
        <v>756</v>
      </c>
      <c r="D111" s="6" t="s">
        <v>1299</v>
      </c>
      <c r="E111" s="9" t="s">
        <v>1095</v>
      </c>
    </row>
    <row r="112" spans="1:5">
      <c r="A112" s="6" t="s">
        <v>951</v>
      </c>
      <c r="B112" s="6" t="s">
        <v>1300</v>
      </c>
      <c r="C112" s="6" t="s">
        <v>1301</v>
      </c>
      <c r="D112" s="6" t="s">
        <v>1302</v>
      </c>
      <c r="E112" s="9" t="s">
        <v>1095</v>
      </c>
    </row>
    <row r="113" spans="1:5">
      <c r="A113" s="6" t="s">
        <v>951</v>
      </c>
      <c r="B113" s="6" t="s">
        <v>1300</v>
      </c>
      <c r="C113" s="6" t="s">
        <v>1301</v>
      </c>
      <c r="D113" s="6" t="s">
        <v>1303</v>
      </c>
      <c r="E113" s="9" t="s">
        <v>1095</v>
      </c>
    </row>
    <row r="114" spans="1:5">
      <c r="A114" s="6" t="s">
        <v>951</v>
      </c>
      <c r="B114" s="6" t="s">
        <v>1300</v>
      </c>
      <c r="C114" s="6" t="s">
        <v>1301</v>
      </c>
      <c r="D114" s="6" t="s">
        <v>1304</v>
      </c>
      <c r="E114" s="9" t="s">
        <v>1095</v>
      </c>
    </row>
    <row r="115" spans="1:5">
      <c r="A115" s="6" t="s">
        <v>951</v>
      </c>
      <c r="B115" s="6" t="s">
        <v>1305</v>
      </c>
      <c r="C115" s="6" t="s">
        <v>1306</v>
      </c>
      <c r="D115" s="6" t="s">
        <v>1307</v>
      </c>
      <c r="E115" s="9" t="s">
        <v>1095</v>
      </c>
    </row>
    <row r="116" spans="1:5">
      <c r="A116" s="6" t="s">
        <v>951</v>
      </c>
      <c r="B116" s="6" t="s">
        <v>1305</v>
      </c>
      <c r="C116" s="6" t="s">
        <v>1306</v>
      </c>
      <c r="D116" s="6" t="s">
        <v>1308</v>
      </c>
      <c r="E116" s="9" t="s">
        <v>1095</v>
      </c>
    </row>
    <row r="117" spans="1:5">
      <c r="A117" s="6" t="s">
        <v>951</v>
      </c>
      <c r="B117" s="6" t="s">
        <v>1309</v>
      </c>
      <c r="C117" s="6" t="s">
        <v>701</v>
      </c>
      <c r="D117" s="6" t="s">
        <v>1310</v>
      </c>
      <c r="E117" s="9" t="s">
        <v>1095</v>
      </c>
    </row>
    <row r="118" spans="1:5">
      <c r="A118" s="6" t="s">
        <v>951</v>
      </c>
      <c r="B118" s="6" t="s">
        <v>1309</v>
      </c>
      <c r="C118" s="6" t="s">
        <v>701</v>
      </c>
      <c r="D118" s="6" t="s">
        <v>1311</v>
      </c>
      <c r="E118" s="9" t="s">
        <v>1095</v>
      </c>
    </row>
    <row r="119" spans="1:5">
      <c r="A119" s="6" t="s">
        <v>951</v>
      </c>
      <c r="B119" s="6" t="s">
        <v>1312</v>
      </c>
      <c r="C119" s="6" t="s">
        <v>708</v>
      </c>
      <c r="D119" s="6" t="s">
        <v>1313</v>
      </c>
      <c r="E119" s="9" t="s">
        <v>1095</v>
      </c>
    </row>
    <row r="120" spans="1:5">
      <c r="A120" s="6" t="s">
        <v>952</v>
      </c>
      <c r="B120" s="6" t="s">
        <v>1314</v>
      </c>
      <c r="C120" s="6" t="s">
        <v>761</v>
      </c>
      <c r="D120" s="6" t="s">
        <v>1315</v>
      </c>
      <c r="E120" s="9" t="s">
        <v>1095</v>
      </c>
    </row>
    <row r="121" spans="1:5">
      <c r="A121" s="6" t="s">
        <v>952</v>
      </c>
      <c r="B121" s="6" t="s">
        <v>1316</v>
      </c>
      <c r="C121" s="6" t="s">
        <v>768</v>
      </c>
      <c r="D121" s="6" t="s">
        <v>1317</v>
      </c>
      <c r="E121" s="9" t="s">
        <v>1095</v>
      </c>
    </row>
    <row r="122" spans="1:5">
      <c r="A122" s="6" t="s">
        <v>952</v>
      </c>
      <c r="B122" s="6" t="s">
        <v>1318</v>
      </c>
      <c r="C122" s="6" t="s">
        <v>774</v>
      </c>
      <c r="D122" s="6" t="s">
        <v>1319</v>
      </c>
      <c r="E122" s="9" t="s">
        <v>1095</v>
      </c>
    </row>
    <row r="123" spans="1:5">
      <c r="A123" s="6" t="s">
        <v>952</v>
      </c>
      <c r="B123" s="6" t="s">
        <v>1320</v>
      </c>
      <c r="C123" s="6" t="s">
        <v>779</v>
      </c>
      <c r="D123" s="6" t="s">
        <v>1321</v>
      </c>
      <c r="E123" s="9" t="s">
        <v>1095</v>
      </c>
    </row>
    <row r="124" spans="1:5">
      <c r="A124" s="7" t="s">
        <v>952</v>
      </c>
      <c r="B124" s="7" t="s">
        <v>1322</v>
      </c>
      <c r="C124" s="7" t="s">
        <v>785</v>
      </c>
      <c r="D124" s="7" t="s">
        <v>1323</v>
      </c>
      <c r="E124" s="10" t="s">
        <v>1095</v>
      </c>
    </row>
  </sheetData>
  <mergeCells count="1">
    <mergeCell ref="A1:E1"/>
  </mergeCells>
  <conditionalFormatting sqref="E4:E124">
    <cfRule type="containsText" dxfId="0" priority="1" operator="containsText" text="Yes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Test Case Specification</vt:lpstr>
      <vt:lpstr>Black-box Summary</vt:lpstr>
      <vt:lpstr>White-box Summary</vt:lpstr>
      <vt:lpstr>Coverage</vt:lpstr>
      <vt:lpstr>Defect Log</vt:lpstr>
      <vt:lpstr>Traceability Matrix</vt:lpstr>
      <vt:lpstr>Summary</vt:lpstr>
      <vt:lpstr>Authentication</vt:lpstr>
      <vt:lpstr>Vehicle</vt:lpstr>
      <vt:lpstr>Customer</vt:lpstr>
      <vt:lpstr>Dealer</vt:lpstr>
      <vt:lpstr>Quote</vt:lpstr>
      <vt:lpstr>Reservation</vt:lpstr>
      <vt:lpstr>Sales</vt:lpstr>
      <vt:lpstr>Reporting</vt:lpstr>
      <vt:lpstr>Notification</vt:lpstr>
      <vt:lpstr>Coverage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ASUS</cp:lastModifiedBy>
  <dcterms:created xsi:type="dcterms:W3CDTF">2026-07-04T06:06:47Z</dcterms:created>
  <dcterms:modified xsi:type="dcterms:W3CDTF">2026-07-18T02:30:27Z</dcterms:modified>
</cp:coreProperties>
</file>